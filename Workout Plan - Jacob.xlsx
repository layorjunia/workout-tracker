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1" sheetId="1" r:id="rId5"/>
    <sheet state="visible" name="WEEK 1" sheetId="2" r:id="rId6"/>
    <sheet state="visible" name="WEEK 2" sheetId="3" r:id="rId7"/>
    <sheet state="visible" name="WEEK 3" sheetId="4" r:id="rId8"/>
    <sheet state="visible" name="Week 4" sheetId="5" r:id="rId9"/>
    <sheet state="visible" name="Week 5" sheetId="6" r:id="rId10"/>
    <sheet state="visible" name="Copy of Week 5" sheetId="7" r:id="rId11"/>
    <sheet state="visible" name="Original - Week 1-6" sheetId="8" r:id="rId12"/>
    <sheet state="visible" name="Original - Week 7-12" sheetId="9" r:id="rId13"/>
    <sheet state="visible" name="Warm Up Process" sheetId="10" r:id="rId14"/>
    <sheet state="visible" name="RPE Explained" sheetId="11" r:id="rId15"/>
  </sheets>
  <definedNames/>
  <calcPr/>
</workbook>
</file>

<file path=xl/sharedStrings.xml><?xml version="1.0" encoding="utf-8"?>
<sst xmlns="http://schemas.openxmlformats.org/spreadsheetml/2006/main" count="1979" uniqueCount="219">
  <si>
    <t>Week 1</t>
  </si>
  <si>
    <t>Set 1</t>
  </si>
  <si>
    <t>Set 2</t>
  </si>
  <si>
    <t>Set 3</t>
  </si>
  <si>
    <t>Total Volume</t>
  </si>
  <si>
    <t>Day 1</t>
  </si>
  <si>
    <t>Sets</t>
  </si>
  <si>
    <t>Rep Range</t>
  </si>
  <si>
    <t>RPE</t>
  </si>
  <si>
    <t>RP</t>
  </si>
  <si>
    <t>Load</t>
  </si>
  <si>
    <t>Reps</t>
  </si>
  <si>
    <t>MAX</t>
  </si>
  <si>
    <t>Volume (Load x Sets x Reps)</t>
  </si>
  <si>
    <t>Seated Chest Press Machine</t>
  </si>
  <si>
    <t>3</t>
  </si>
  <si>
    <t>10–15</t>
  </si>
  <si>
    <t>60</t>
  </si>
  <si>
    <t>Tricep Cable Pushdown</t>
  </si>
  <si>
    <t>10–12</t>
  </si>
  <si>
    <t>Seated Shoulder Press</t>
  </si>
  <si>
    <t>Tricep Dips (Assisted)</t>
  </si>
  <si>
    <t>8–10</t>
  </si>
  <si>
    <t>Pectoral Fly</t>
  </si>
  <si>
    <t>8–12</t>
  </si>
  <si>
    <t>Ab Twist machine</t>
  </si>
  <si>
    <t>12-15</t>
  </si>
  <si>
    <t>Day 2</t>
  </si>
  <si>
    <t>Rest Period</t>
  </si>
  <si>
    <t>Row Machine</t>
  </si>
  <si>
    <t>Wide grip Pull-Up (Assisted)</t>
  </si>
  <si>
    <t>Preacher Curl</t>
  </si>
  <si>
    <t>Lat Pulldown</t>
  </si>
  <si>
    <t>Barbell Shrugs</t>
  </si>
  <si>
    <t>Cable Ab Curl</t>
  </si>
  <si>
    <t>Day 3</t>
  </si>
  <si>
    <t>Rest - 10k Steps minimum</t>
  </si>
  <si>
    <t>Day 4</t>
  </si>
  <si>
    <t>Chest Press Machine</t>
  </si>
  <si>
    <t>8-12</t>
  </si>
  <si>
    <t>Wide Grip Pull-Up (Assisted)</t>
  </si>
  <si>
    <t>Neck Flexion</t>
  </si>
  <si>
    <t>Day 5</t>
  </si>
  <si>
    <t xml:space="preserve">Squats </t>
  </si>
  <si>
    <t>Barbell shrugs</t>
  </si>
  <si>
    <t>Roman chair</t>
  </si>
  <si>
    <t>12–15</t>
  </si>
  <si>
    <t>Leg Curl Machine</t>
  </si>
  <si>
    <t>Hip Abduction</t>
  </si>
  <si>
    <t>Ab Twist Machine</t>
  </si>
  <si>
    <t>Cable Face Pull</t>
  </si>
  <si>
    <t>Seated Leg Extension</t>
  </si>
  <si>
    <t>Hip abduction</t>
  </si>
  <si>
    <t>Hip Adduction</t>
  </si>
  <si>
    <t>Tricep Cable Pushdown rope</t>
  </si>
  <si>
    <t>Dumbbell side lateral raise</t>
  </si>
  <si>
    <t>Squats leg press</t>
  </si>
  <si>
    <t>Ab Oblique Crunch Machine</t>
  </si>
  <si>
    <t>Days</t>
  </si>
  <si>
    <t>Volume</t>
  </si>
  <si>
    <t>MAX Difference</t>
  </si>
  <si>
    <t>Dumbbell Side Lateral Raise</t>
  </si>
  <si>
    <t>Dumbbell Shrugs</t>
  </si>
  <si>
    <t>Squats Leg Press</t>
  </si>
  <si>
    <t>Roman Chair</t>
  </si>
  <si>
    <t>Weeks 1-6</t>
  </si>
  <si>
    <t>Set 4</t>
  </si>
  <si>
    <t>Set 5</t>
  </si>
  <si>
    <t>Pre-Training Warm Up/Routine (please complete before session)</t>
  </si>
  <si>
    <t>Notes</t>
  </si>
  <si>
    <t>Broomstick/Band Shoulder Rotations - 3 x 20(hands closer each set)</t>
  </si>
  <si>
    <t>Bench Press</t>
  </si>
  <si>
    <t>Band Pull Apart - 3 x 20 reps(hands closer each set)</t>
  </si>
  <si>
    <t>Incline Machine Press</t>
  </si>
  <si>
    <t>Cable OR Banded External Rotations - 2 x 12 ea. side</t>
  </si>
  <si>
    <t>Flat Dumbbell Fly / Tricep Dips Superset</t>
  </si>
  <si>
    <t>8-12 / 15-20</t>
  </si>
  <si>
    <t>Scapula Push Ups - 2 x 10</t>
  </si>
  <si>
    <t>Tricep Press Down</t>
  </si>
  <si>
    <t>Full Plank</t>
  </si>
  <si>
    <t>40-60</t>
  </si>
  <si>
    <t>40</t>
  </si>
  <si>
    <t>10 Min HIIT</t>
  </si>
  <si>
    <t>As Needed</t>
  </si>
  <si>
    <t>Deadlift</t>
  </si>
  <si>
    <t>Alternating Dumbbell Row</t>
  </si>
  <si>
    <t>Dumbbell Bicep Curls</t>
  </si>
  <si>
    <t>Rope Hammer Curls</t>
  </si>
  <si>
    <t>Leg Raises / Leg Turks Superset</t>
  </si>
  <si>
    <t>20</t>
  </si>
  <si>
    <t>Leg swings x 10 each leg + lower body stretching</t>
  </si>
  <si>
    <t>2.4km Run or Swim Laps 30 Min</t>
  </si>
  <si>
    <t>Trigger Point Glute Med - 2-3min ea. side</t>
  </si>
  <si>
    <t>Body Weight Squat</t>
  </si>
  <si>
    <t>2</t>
  </si>
  <si>
    <t>Trigger Point TFL - 2-3min ea. side</t>
  </si>
  <si>
    <t>Barbell Back Squat</t>
  </si>
  <si>
    <t>Foam Roll Quads, Calves, ITB, Back - 3-5min</t>
  </si>
  <si>
    <t>Dumbbell Alternating Lunges</t>
  </si>
  <si>
    <t>Bird Dogs - 2 x 12 ea. side</t>
  </si>
  <si>
    <t>Leg Press</t>
  </si>
  <si>
    <t>Side Plank, Front Plank - 2 x 20sec ea. side</t>
  </si>
  <si>
    <t>Leg Curls/Extensions Superset</t>
  </si>
  <si>
    <t>Single-leg Glute Bridge - 2 x 15 ea. side</t>
  </si>
  <si>
    <t>Standing Dumbbell Calf Raises</t>
  </si>
  <si>
    <t>Sit Ups</t>
  </si>
  <si>
    <t>4</t>
  </si>
  <si>
    <t>15-20</t>
  </si>
  <si>
    <t>Seated Side/Front Raises Superset</t>
  </si>
  <si>
    <t>Kettlebell Upright Row / Dumbbell Shrugs Superset</t>
  </si>
  <si>
    <t>Face Pull</t>
  </si>
  <si>
    <t>Side Planks</t>
  </si>
  <si>
    <t>Day 6</t>
  </si>
  <si>
    <t>Beep Test or 3km Run</t>
  </si>
  <si>
    <t>20 Metre Shuttle From Prone Position</t>
  </si>
  <si>
    <t>Leopard Crawls</t>
  </si>
  <si>
    <t>Side Shuffles</t>
  </si>
  <si>
    <t>Sprints</t>
  </si>
  <si>
    <t>Bounds</t>
  </si>
  <si>
    <t>Burpees</t>
  </si>
  <si>
    <t>Weeks 7-12</t>
  </si>
  <si>
    <t>Week 2</t>
  </si>
  <si>
    <t>Incline Push Ups</t>
  </si>
  <si>
    <t>1</t>
  </si>
  <si>
    <t>Max</t>
  </si>
  <si>
    <t>Decline Push Ups</t>
  </si>
  <si>
    <t>Incline Dumbbells</t>
  </si>
  <si>
    <t>Middle Cable Flyes</t>
  </si>
  <si>
    <t>Upper Cable Flyes</t>
  </si>
  <si>
    <t>Skull Crusher</t>
  </si>
  <si>
    <t>Overhead Rope Extensions / Rope Crunch Superset</t>
  </si>
  <si>
    <t>8-12 / 5-10</t>
  </si>
  <si>
    <t>Sumo Deadlift</t>
  </si>
  <si>
    <t>Seated Cable Row</t>
  </si>
  <si>
    <t>Close Grip Lat Pulldown</t>
  </si>
  <si>
    <t>Bench Supported Dumbbell Row</t>
  </si>
  <si>
    <t>Lat Pullover/Cable Curls Superset</t>
  </si>
  <si>
    <t>Crunches to Side Crunches</t>
  </si>
  <si>
    <t>202020</t>
  </si>
  <si>
    <t>2.4km Run or Swim Laps for 30 Min</t>
  </si>
  <si>
    <t>Curtsy Lunges</t>
  </si>
  <si>
    <t>Hack Squat</t>
  </si>
  <si>
    <t>Stiff Leg Deadlift</t>
  </si>
  <si>
    <t>Split Squat</t>
  </si>
  <si>
    <t>Barbell Hip Thrusts</t>
  </si>
  <si>
    <t>Leg Curls/Extension Superset</t>
  </si>
  <si>
    <t>Wall Sit</t>
  </si>
  <si>
    <t>Max Time</t>
  </si>
  <si>
    <t>Sit Ups to a Cadence</t>
  </si>
  <si>
    <t>Cable Side Raises</t>
  </si>
  <si>
    <t>Cable Front Raises</t>
  </si>
  <si>
    <t>Kettlebell Halo / Kettlebell Swing Superset</t>
  </si>
  <si>
    <t>Rear Delt Fly</t>
  </si>
  <si>
    <t>Smith Machine Shrugs</t>
  </si>
  <si>
    <t>Hanging Leg Raises or Lying Leg Raises</t>
  </si>
  <si>
    <t>Shoulder Taps</t>
  </si>
  <si>
    <t>Kick Throughs</t>
  </si>
  <si>
    <t>Mountain Climbers</t>
  </si>
  <si>
    <t>Star Jumps</t>
  </si>
  <si>
    <t>High Knees</t>
  </si>
  <si>
    <t>Frog Jumps</t>
  </si>
  <si>
    <t>Warm Up Information:</t>
  </si>
  <si>
    <t>It is very important you warm up correctly to not only decrease the risk of injury, but also to achieve an effective workout</t>
  </si>
  <si>
    <t>You are to complete a Dynamic Warm Up before each training session</t>
  </si>
  <si>
    <t>There is also a guide to warm up on your lifts</t>
  </si>
  <si>
    <t>Dynamic Warm Up:</t>
  </si>
  <si>
    <t>Exercise</t>
  </si>
  <si>
    <t>Leg Swings, Front to Back</t>
  </si>
  <si>
    <t>*Each Leg</t>
  </si>
  <si>
    <t>Leg Swings, Side to Side</t>
  </si>
  <si>
    <t>Arm Circles going Forward</t>
  </si>
  <si>
    <t>Both Arms at the same time</t>
  </si>
  <si>
    <t>Arm Circles going Backward</t>
  </si>
  <si>
    <t>Cross Body Arm Swings</t>
  </si>
  <si>
    <t>Walking Lunge + Rotation</t>
  </si>
  <si>
    <t>Rotate towards the side of the leg stepping forward. Stay up tall</t>
  </si>
  <si>
    <t>Floor Ab Crunches</t>
  </si>
  <si>
    <t>Exhale on the way up</t>
  </si>
  <si>
    <t>Band Pull Aparts</t>
  </si>
  <si>
    <t>-</t>
  </si>
  <si>
    <t>Floor Hip Raises</t>
  </si>
  <si>
    <t>Focus on Squeezing Glutes</t>
  </si>
  <si>
    <t>Complete this consectuively for 3 rounds total meaning no rests between sets</t>
  </si>
  <si>
    <t>Complete the exercises as a circuit meaning no rest in between each movement</t>
  </si>
  <si>
    <t>Weight Exercise Warm Up:</t>
  </si>
  <si>
    <t>Main Lifts</t>
  </si>
  <si>
    <t>Secondary Lifts</t>
  </si>
  <si>
    <t>SET #</t>
  </si>
  <si>
    <t>REPS</t>
  </si>
  <si>
    <t>LOAD/INTENSITY</t>
  </si>
  <si>
    <t>50% of Working Weight</t>
  </si>
  <si>
    <t>70% of Working Weight</t>
  </si>
  <si>
    <t>*Set 2</t>
  </si>
  <si>
    <t>*6</t>
  </si>
  <si>
    <t>*70% of Working Weight</t>
  </si>
  <si>
    <t>90% of Working Weight</t>
  </si>
  <si>
    <t xml:space="preserve">Set 3 </t>
  </si>
  <si>
    <t>N/A</t>
  </si>
  <si>
    <t>Slow eccentric focusing on an explosive concentric</t>
  </si>
  <si>
    <t>*Only complete this round if it is the first exercise of the given muscle group</t>
  </si>
  <si>
    <t>RPE Explained:</t>
  </si>
  <si>
    <t>The RPE Scale is used to measure the Intensity of your exercise</t>
  </si>
  <si>
    <t>THE RPE Scale runs from 0-10. These numbers written below relate to the phrases used to rate how easy or difficult you find an exericse or load/reps on a given exercise/movement</t>
  </si>
  <si>
    <t>For example, 0(nothing at all) would be how you feel standing there/sitting in a chair and a 10(very heavy, muscular failure) is how you would feel at the end of a Sprint or AMRAP set on an exercise. Essentially a 10 would be considered Muscular/Physical Failure</t>
  </si>
  <si>
    <t>It may take some time for you to get an idea of what RPE you are working at realistically but for the most part it is pretty easy to figure out after you establish the right loads for the given rep ranges and RPE</t>
  </si>
  <si>
    <t>RPE Scale:</t>
  </si>
  <si>
    <t>0 - Nothing at all</t>
  </si>
  <si>
    <t>1 - Easy, very light</t>
  </si>
  <si>
    <t>2 - Easy, very light</t>
  </si>
  <si>
    <t>3 - Easy, very light</t>
  </si>
  <si>
    <t>4 - Very light</t>
  </si>
  <si>
    <t>5 - Very light</t>
  </si>
  <si>
    <t>6 - Light to Moderate; a good warm up/deload intensity</t>
  </si>
  <si>
    <t>7 - Somewhat heavy, 3 reps left in the tank</t>
  </si>
  <si>
    <t>8 - Heavy, only 2 reps left in the tank</t>
  </si>
  <si>
    <t>8.5 - Heavy, definitely 1 rep left in the tank, maybe 2</t>
  </si>
  <si>
    <t>9 - Very heavy, only 1 rep left in the tank</t>
  </si>
  <si>
    <t>9.5 - Very heavy, MAYBE 1 rep left in the tank</t>
  </si>
  <si>
    <t>10 - Extremely heavy, no reps left in the tank(muscular failure)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</si>
</sst>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1.0"/>
      <color rgb="FF000000"/>
      <name val="Arial"/>
      <scheme val="minor"/>
    </font>
    <font>
      <b/>
      <sz val="12.0"/>
      <color rgb="FFFFFFFF"/>
      <name val="Arial Narrow"/>
    </font>
    <font/>
    <font>
      <b/>
      <sz val="12.0"/>
      <color theme="1"/>
      <name val="Arial Narrow"/>
    </font>
    <font>
      <b/>
      <sz val="14.0"/>
      <color rgb="FF000000"/>
      <name val="Arial Narrow"/>
    </font>
    <font>
      <b/>
      <i/>
      <sz val="14.0"/>
      <color rgb="FF000000"/>
      <name val="Arial Narrow"/>
    </font>
    <font>
      <color theme="1"/>
      <name val="Arial"/>
      <scheme val="minor"/>
    </font>
    <font>
      <sz val="12.0"/>
      <color rgb="FF000000"/>
      <name val="Arial Narrow"/>
    </font>
    <font>
      <sz val="12.0"/>
      <color theme="1"/>
      <name val="Arial Narrow"/>
    </font>
    <font>
      <sz val="11.0"/>
      <color theme="1"/>
      <name val="Arial"/>
    </font>
    <font>
      <sz val="11.0"/>
      <color rgb="FF000000"/>
      <name val="Calibri"/>
    </font>
    <font>
      <b/>
      <sz val="12.0"/>
      <color rgb="FF000000"/>
      <name val="Arial Narrow"/>
    </font>
    <font>
      <b/>
      <i/>
      <sz val="12.0"/>
      <color rgb="FF000000"/>
      <name val="Arial Narrow"/>
    </font>
    <font>
      <sz val="12.0"/>
      <color theme="1"/>
      <name val="&quot;Arial Narrow&quot;"/>
    </font>
    <font>
      <b/>
      <i/>
      <sz val="12.0"/>
      <color theme="1"/>
      <name val="Arial Narrow"/>
    </font>
    <font>
      <sz val="12.0"/>
      <color rgb="FF000000"/>
      <name val="&quot;docs-Arial Narrow&quot;"/>
    </font>
    <font>
      <sz val="12.0"/>
      <color rgb="FFFFFFFF"/>
      <name val="Arial Narrow"/>
    </font>
  </fonts>
  <fills count="14">
    <fill>
      <patternFill patternType="none"/>
    </fill>
    <fill>
      <patternFill patternType="lightGray"/>
    </fill>
    <fill>
      <patternFill patternType="solid">
        <fgColor rgb="FF1F497D"/>
        <bgColor rgb="FF1F497D"/>
      </patternFill>
    </fill>
    <fill>
      <patternFill patternType="solid">
        <fgColor rgb="FF1C4587"/>
        <bgColor rgb="FF1C4587"/>
      </patternFill>
    </fill>
    <fill>
      <patternFill patternType="solid">
        <fgColor rgb="FF95B3D7"/>
        <bgColor rgb="FF95B3D7"/>
      </patternFill>
    </fill>
    <fill>
      <patternFill patternType="solid">
        <fgColor rgb="FFA5B6CA"/>
        <bgColor rgb="FFA5B6CA"/>
      </patternFill>
    </fill>
    <fill>
      <patternFill patternType="solid">
        <fgColor rgb="FF26A69A"/>
        <bgColor rgb="FF26A69A"/>
      </patternFill>
    </fill>
    <fill>
      <patternFill patternType="solid">
        <fgColor rgb="FFEEECE1"/>
        <bgColor rgb="FFEEECE1"/>
      </patternFill>
    </fill>
    <fill>
      <patternFill patternType="solid">
        <fgColor rgb="FFFF0000"/>
        <bgColor rgb="FFFF0000"/>
      </patternFill>
    </fill>
    <fill>
      <patternFill patternType="solid">
        <fgColor rgb="FFFFFFFF"/>
        <bgColor rgb="FFFFFFFF"/>
      </patternFill>
    </fill>
    <fill>
      <patternFill patternType="solid">
        <fgColor rgb="FFDDF2F0"/>
        <bgColor rgb="FFDDF2F0"/>
      </patternFill>
    </fill>
    <fill>
      <patternFill patternType="solid">
        <fgColor rgb="FF93C47D"/>
        <bgColor rgb="FF93C47D"/>
      </patternFill>
    </fill>
    <fill>
      <patternFill patternType="solid">
        <fgColor rgb="FFFFFF00"/>
        <bgColor rgb="FFFFFF00"/>
      </patternFill>
    </fill>
    <fill>
      <patternFill patternType="solid">
        <fgColor rgb="FFFDE9D9"/>
        <bgColor rgb="FFFDE9D9"/>
      </patternFill>
    </fill>
  </fills>
  <borders count="7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top style="medium">
        <color rgb="FF000000"/>
      </top>
      <bottom/>
    </border>
    <border>
      <right style="medium">
        <color rgb="FF000000"/>
      </right>
      <top style="medium">
        <color rgb="FF000000"/>
      </top>
      <bottom/>
    </border>
    <border>
      <left/>
      <right style="medium">
        <color rgb="FF000000"/>
      </right>
      <top style="medium">
        <color rgb="FF000000"/>
      </top>
      <bottom/>
    </border>
    <border>
      <left style="thin">
        <color rgb="FF000000"/>
      </left>
      <right style="thin">
        <color rgb="FF000000"/>
      </right>
      <top style="thin">
        <color rgb="FF000000"/>
      </top>
      <bottom style="thin">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bottom style="medium">
        <color rgb="FF000000"/>
      </bottom>
    </border>
    <border>
      <right style="medium">
        <color rgb="FF000000"/>
      </right>
      <bottom style="medium">
        <color rgb="FF000000"/>
      </bottom>
    </border>
    <border>
      <left style="thin">
        <color rgb="FF000000"/>
      </left>
      <right style="medium">
        <color rgb="FF000000"/>
      </right>
      <bottom style="thin">
        <color rgb="FF000000"/>
      </bottom>
    </border>
    <border>
      <left/>
      <right style="medium">
        <color rgb="FF000000"/>
      </right>
      <top style="medium">
        <color rgb="FF000000"/>
      </top>
    </border>
    <border>
      <left style="thin">
        <color rgb="FF000000"/>
      </left>
      <right style="medium">
        <color rgb="FF000000"/>
      </right>
      <top style="thin">
        <color rgb="FF000000"/>
      </top>
      <bottom style="thin">
        <color rgb="FF000000"/>
      </bottom>
    </border>
    <border>
      <left style="medium">
        <color rgb="FF000000"/>
      </left>
      <top style="medium">
        <color rgb="FF000000"/>
      </top>
    </border>
    <border>
      <left/>
      <top style="medium">
        <color rgb="FF000000"/>
      </top>
      <bottom style="medium">
        <color rgb="FF000000"/>
      </bottom>
    </border>
    <border>
      <left style="medium">
        <color rgb="FF000000"/>
      </left>
      <bottom style="medium">
        <color rgb="FF000000"/>
      </bottom>
    </border>
    <border>
      <left/>
      <top style="medium">
        <color rgb="FF000000"/>
      </top>
      <bottom/>
    </border>
    <border>
      <left style="medium">
        <color rgb="FF000000"/>
      </left>
      <top style="medium">
        <color rgb="FF000000"/>
      </top>
      <bottom/>
    </border>
    <border>
      <left style="medium">
        <color rgb="FF000000"/>
      </left>
      <top style="medium">
        <color rgb="FF000000"/>
      </top>
      <bottom style="medium">
        <color rgb="FF000000"/>
      </bottom>
    </border>
    <border>
      <left/>
      <right/>
      <top style="medium">
        <color rgb="FF000000"/>
      </top>
      <bottom/>
    </border>
    <border>
      <left style="medium">
        <color rgb="FF000000"/>
      </left>
      <right/>
      <top style="thin">
        <color rgb="FFAAAAAA"/>
      </top>
      <bottom/>
    </border>
    <border>
      <left/>
      <right/>
      <top style="thin">
        <color rgb="FFAAAAAA"/>
      </top>
      <bottom/>
    </border>
    <border>
      <left/>
      <right style="thin">
        <color rgb="FFAAAAAA"/>
      </right>
      <top style="thin">
        <color rgb="FFAAAAAA"/>
      </top>
      <bottom/>
    </border>
    <border>
      <left style="medium">
        <color rgb="FF000000"/>
      </left>
      <right style="medium">
        <color rgb="FF000000"/>
      </right>
      <top/>
      <bottom/>
    </border>
    <border>
      <left style="medium">
        <color rgb="FF000000"/>
      </left>
      <right style="medium">
        <color rgb="FF000000"/>
      </right>
      <top style="medium">
        <color rgb="FF000000"/>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top/>
      <bottom/>
    </border>
    <border>
      <left/>
      <right style="thin">
        <color rgb="FFAAAAAA"/>
      </right>
      <top/>
      <bottom/>
    </border>
    <border>
      <bottom/>
    </border>
    <border>
      <left style="medium">
        <color rgb="FF000000"/>
      </left>
      <right style="medium">
        <color rgb="FF000000"/>
      </right>
    </border>
    <border>
      <left style="medium">
        <color rgb="FF000000"/>
      </left>
    </border>
    <border>
      <left style="medium">
        <color rgb="FF000000"/>
      </left>
      <right/>
      <top/>
      <bottom/>
    </border>
    <border>
      <left/>
      <right style="medium">
        <color rgb="FF000000"/>
      </right>
      <top/>
      <bottom/>
    </border>
    <border>
      <left style="medium">
        <color rgb="FF000000"/>
      </left>
      <top/>
      <bottom/>
    </border>
    <border>
      <top/>
      <bottom/>
    </border>
    <border>
      <right style="medium">
        <color rgb="FF000000"/>
      </right>
      <top/>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right/>
      <top style="medium">
        <color rgb="FF000000"/>
      </top>
      <bottom style="medium">
        <color rgb="FF000000"/>
      </bottom>
    </border>
    <border>
      <right style="medium">
        <color rgb="FF000000"/>
      </right>
    </border>
    <border>
      <right/>
    </border>
    <border>
      <left style="medium">
        <color rgb="FF000000"/>
      </left>
      <right style="medium">
        <color rgb="FF000000"/>
      </right>
      <bottom/>
    </border>
    <border>
      <right/>
      <bottom/>
    </border>
    <border>
      <right style="medium">
        <color rgb="FF000000"/>
      </right>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thin">
        <color rgb="FFAAAAAA"/>
      </left>
      <top style="medium">
        <color rgb="FF000000"/>
      </top>
    </border>
    <border>
      <right style="thin">
        <color rgb="FFAAAAAA"/>
      </right>
      <top style="medium">
        <color rgb="FF000000"/>
      </top>
    </border>
    <border>
      <left style="thin">
        <color rgb="FFAAAAAA"/>
      </left>
      <bottom style="medium">
        <color rgb="FF000000"/>
      </bottom>
    </border>
    <border>
      <right style="thin">
        <color rgb="FFAAAAAA"/>
      </right>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top style="thin">
        <color rgb="FF000000"/>
      </top>
    </border>
    <border>
      <right style="medium">
        <color rgb="FF000000"/>
      </right>
      <top style="thin">
        <color rgb="FF000000"/>
      </top>
    </border>
    <border>
      <left style="medium">
        <color rgb="FF000000"/>
      </left>
      <right style="medium">
        <color rgb="FF000000"/>
      </right>
      <top style="thin">
        <color rgb="FF000000"/>
      </top>
    </border>
  </borders>
  <cellStyleXfs count="1">
    <xf borderId="0" fillId="0" fontId="0" numFmtId="0" applyAlignment="1" applyFont="1"/>
  </cellStyleXfs>
  <cellXfs count="216">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4" fillId="2" fontId="1" numFmtId="0" xfId="0" applyAlignment="1" applyBorder="1" applyFont="1">
      <alignment horizontal="center"/>
    </xf>
    <xf borderId="10" fillId="2" fontId="1" numFmtId="0" xfId="0" applyAlignment="1" applyBorder="1" applyFont="1">
      <alignment horizontal="center"/>
    </xf>
    <xf borderId="10" fillId="0" fontId="2" numFmtId="0" xfId="0" applyBorder="1" applyFont="1"/>
    <xf borderId="11" fillId="0" fontId="2" numFmtId="0" xfId="0" applyBorder="1" applyFont="1"/>
    <xf borderId="12" fillId="2" fontId="1" numFmtId="0" xfId="0" applyBorder="1" applyFont="1"/>
    <xf borderId="13" fillId="4" fontId="4" numFmtId="49" xfId="0" applyAlignment="1" applyBorder="1" applyFill="1" applyFont="1" applyNumberFormat="1">
      <alignment horizontal="center" readingOrder="0"/>
    </xf>
    <xf borderId="13" fillId="4" fontId="5" numFmtId="49" xfId="0" applyAlignment="1" applyBorder="1" applyFont="1" applyNumberFormat="1">
      <alignment horizontal="center"/>
    </xf>
    <xf borderId="13" fillId="4" fontId="5" numFmtId="49" xfId="0" applyAlignment="1" applyBorder="1" applyFont="1" applyNumberFormat="1">
      <alignment horizontal="center" readingOrder="0"/>
    </xf>
    <xf borderId="13" fillId="5" fontId="5" numFmtId="49" xfId="0" applyAlignment="1" applyBorder="1" applyFill="1" applyFont="1" applyNumberFormat="1">
      <alignment horizontal="center"/>
    </xf>
    <xf borderId="13" fillId="5" fontId="5" numFmtId="49" xfId="0" applyAlignment="1" applyBorder="1" applyFont="1" applyNumberFormat="1">
      <alignment horizontal="center"/>
    </xf>
    <xf borderId="14" fillId="6" fontId="5" numFmtId="49" xfId="0" applyAlignment="1" applyBorder="1" applyFill="1" applyFont="1" applyNumberFormat="1">
      <alignment horizontal="center"/>
    </xf>
    <xf borderId="14" fillId="6" fontId="2" numFmtId="0" xfId="0" applyBorder="1" applyFont="1"/>
    <xf borderId="15" fillId="6" fontId="2" numFmtId="0" xfId="0" applyBorder="1" applyFont="1"/>
    <xf borderId="16" fillId="6" fontId="5" numFmtId="49" xfId="0" applyAlignment="1" applyBorder="1" applyFont="1" applyNumberFormat="1">
      <alignment horizontal="center" vertical="center"/>
    </xf>
    <xf borderId="13" fillId="0" fontId="6" numFmtId="49" xfId="0" applyAlignment="1" applyBorder="1" applyFont="1" applyNumberFormat="1">
      <alignment readingOrder="0"/>
    </xf>
    <xf borderId="13" fillId="0" fontId="7" numFmtId="49" xfId="0" applyAlignment="1" applyBorder="1" applyFont="1" applyNumberFormat="1">
      <alignment horizontal="center" readingOrder="0"/>
    </xf>
    <xf borderId="13" fillId="0" fontId="6" numFmtId="49" xfId="0" applyAlignment="1" applyBorder="1" applyFont="1" applyNumberFormat="1">
      <alignment horizontal="center" readingOrder="0"/>
    </xf>
    <xf borderId="13" fillId="0" fontId="7" numFmtId="49" xfId="0" applyAlignment="1" applyBorder="1" applyFont="1" applyNumberFormat="1">
      <alignment horizontal="center"/>
    </xf>
    <xf borderId="13" fillId="7" fontId="7" numFmtId="0" xfId="0" applyAlignment="1" applyBorder="1" applyFill="1" applyFont="1">
      <alignment horizontal="center" readingOrder="0"/>
    </xf>
    <xf borderId="13" fillId="8" fontId="8" numFmtId="164" xfId="0" applyAlignment="1" applyBorder="1" applyFill="1" applyFont="1" applyNumberFormat="1">
      <alignment horizontal="center"/>
    </xf>
    <xf borderId="17" fillId="9" fontId="7" numFmtId="0" xfId="0" applyAlignment="1" applyBorder="1" applyFill="1" applyFont="1">
      <alignment horizontal="center"/>
    </xf>
    <xf borderId="17" fillId="9" fontId="2" numFmtId="0" xfId="0" applyBorder="1" applyFont="1"/>
    <xf borderId="18" fillId="9" fontId="2" numFmtId="0" xfId="0" applyBorder="1" applyFont="1"/>
    <xf borderId="13" fillId="9" fontId="7" numFmtId="0" xfId="0" applyAlignment="1" applyBorder="1" applyFont="1">
      <alignment horizontal="center"/>
    </xf>
    <xf borderId="17" fillId="10" fontId="7" numFmtId="0" xfId="0" applyAlignment="1" applyBorder="1" applyFill="1" applyFont="1">
      <alignment horizontal="center"/>
    </xf>
    <xf borderId="17" fillId="10" fontId="2" numFmtId="0" xfId="0" applyBorder="1" applyFont="1"/>
    <xf borderId="18" fillId="10" fontId="2" numFmtId="0" xfId="0" applyBorder="1" applyFont="1"/>
    <xf borderId="13" fillId="10" fontId="7" numFmtId="0" xfId="0" applyAlignment="1" applyBorder="1" applyFont="1">
      <alignment horizontal="center"/>
    </xf>
    <xf borderId="13" fillId="7" fontId="7" numFmtId="0" xfId="0" applyAlignment="1" applyBorder="1" applyFont="1">
      <alignment horizontal="center"/>
    </xf>
    <xf borderId="19" fillId="9" fontId="5" numFmtId="49" xfId="0" applyAlignment="1" applyBorder="1" applyFont="1" applyNumberFormat="1">
      <alignment horizontal="center"/>
    </xf>
    <xf borderId="19" fillId="9" fontId="2" numFmtId="0" xfId="0" applyBorder="1" applyFont="1"/>
    <xf borderId="20" fillId="9" fontId="2" numFmtId="0" xfId="0" applyBorder="1" applyFont="1"/>
    <xf borderId="6" fillId="10" fontId="7" numFmtId="0" xfId="0" applyAlignment="1" applyBorder="1" applyFont="1">
      <alignment horizontal="center"/>
    </xf>
    <xf borderId="6" fillId="9" fontId="7" numFmtId="0" xfId="0" applyAlignment="1" applyBorder="1" applyFont="1">
      <alignment horizontal="center"/>
    </xf>
    <xf quotePrefix="1" borderId="13" fillId="0" fontId="7" numFmtId="49" xfId="0" applyAlignment="1" applyBorder="1" applyFont="1" applyNumberFormat="1">
      <alignment horizontal="center"/>
    </xf>
    <xf borderId="13" fillId="0" fontId="7" numFmtId="0" xfId="0" applyAlignment="1" applyBorder="1" applyFont="1">
      <alignment horizontal="center"/>
    </xf>
    <xf borderId="13" fillId="0" fontId="7" numFmtId="0" xfId="0" applyAlignment="1" applyBorder="1" applyFont="1">
      <alignment horizontal="center" readingOrder="0"/>
    </xf>
    <xf borderId="19" fillId="10" fontId="5" numFmtId="49" xfId="0" applyAlignment="1" applyBorder="1" applyFont="1" applyNumberFormat="1">
      <alignment horizontal="center"/>
    </xf>
    <xf borderId="19" fillId="10" fontId="2" numFmtId="0" xfId="0" applyBorder="1" applyFont="1"/>
    <xf borderId="20" fillId="10" fontId="2" numFmtId="0" xfId="0" applyBorder="1" applyFont="1"/>
    <xf borderId="13" fillId="0" fontId="0" numFmtId="49" xfId="0" applyAlignment="1" applyBorder="1" applyFont="1" applyNumberFormat="1">
      <alignment horizontal="left" readingOrder="0"/>
    </xf>
    <xf borderId="10" fillId="9" fontId="7" numFmtId="0" xfId="0" applyAlignment="1" applyBorder="1" applyFont="1">
      <alignment horizontal="center"/>
    </xf>
    <xf borderId="10" fillId="9" fontId="2" numFmtId="0" xfId="0" applyBorder="1" applyFont="1"/>
    <xf borderId="11" fillId="9" fontId="2" numFmtId="0" xfId="0" applyBorder="1" applyFont="1"/>
    <xf borderId="14" fillId="10" fontId="5" numFmtId="49" xfId="0" applyAlignment="1" applyBorder="1" applyFont="1" applyNumberFormat="1">
      <alignment horizontal="center"/>
    </xf>
    <xf borderId="14" fillId="10" fontId="2" numFmtId="0" xfId="0" applyBorder="1" applyFont="1"/>
    <xf borderId="15" fillId="10" fontId="2" numFmtId="0" xfId="0" applyBorder="1" applyFont="1"/>
    <xf borderId="12" fillId="2" fontId="9" numFmtId="0" xfId="0" applyAlignment="1" applyBorder="1" applyFont="1">
      <alignment vertical="bottom"/>
    </xf>
    <xf borderId="16" fillId="6" fontId="9" numFmtId="49" xfId="0" applyBorder="1" applyFont="1" applyNumberFormat="1"/>
    <xf borderId="13" fillId="9" fontId="8" numFmtId="0" xfId="0" applyAlignment="1" applyBorder="1" applyFont="1">
      <alignment horizontal="center" vertical="bottom"/>
    </xf>
    <xf borderId="13" fillId="10" fontId="8" numFmtId="0" xfId="0" applyAlignment="1" applyBorder="1" applyFont="1">
      <alignment horizontal="center" vertical="bottom"/>
    </xf>
    <xf borderId="14" fillId="9" fontId="5" numFmtId="49" xfId="0" applyAlignment="1" applyBorder="1" applyFont="1" applyNumberFormat="1">
      <alignment horizontal="center"/>
    </xf>
    <xf borderId="14" fillId="9" fontId="2" numFmtId="0" xfId="0" applyBorder="1" applyFont="1"/>
    <xf borderId="15" fillId="9" fontId="2" numFmtId="0" xfId="0" applyBorder="1" applyFont="1"/>
    <xf borderId="13" fillId="9" fontId="9" numFmtId="49" xfId="0" applyAlignment="1" applyBorder="1" applyFont="1" applyNumberFormat="1">
      <alignment vertical="bottom"/>
    </xf>
    <xf borderId="13" fillId="10" fontId="9" numFmtId="49" xfId="0" applyAlignment="1" applyBorder="1" applyFont="1" applyNumberFormat="1">
      <alignment vertical="bottom"/>
    </xf>
    <xf borderId="13" fillId="9" fontId="9" numFmtId="0" xfId="0" applyAlignment="1" applyBorder="1" applyFont="1">
      <alignment vertical="bottom"/>
    </xf>
    <xf borderId="21" fillId="2" fontId="1" numFmtId="49" xfId="0" applyAlignment="1" applyBorder="1" applyFont="1" applyNumberFormat="1">
      <alignment horizontal="center" readingOrder="0" vertical="center"/>
    </xf>
    <xf borderId="5" fillId="2" fontId="1" numFmtId="0" xfId="0" applyAlignment="1" applyBorder="1" applyFont="1">
      <alignment horizontal="center"/>
    </xf>
    <xf borderId="17" fillId="2" fontId="1" numFmtId="0" xfId="0" applyAlignment="1" applyBorder="1" applyFont="1">
      <alignment horizontal="center" readingOrder="0"/>
    </xf>
    <xf borderId="17" fillId="0" fontId="2" numFmtId="0" xfId="0" applyBorder="1" applyFont="1"/>
    <xf borderId="18" fillId="0" fontId="2" numFmtId="0" xfId="0" applyBorder="1" applyFont="1"/>
    <xf borderId="22" fillId="2" fontId="1" numFmtId="0" xfId="0" applyAlignment="1" applyBorder="1" applyFont="1">
      <alignment horizontal="center" readingOrder="0"/>
    </xf>
    <xf borderId="23" fillId="6" fontId="4" numFmtId="49" xfId="0" applyAlignment="1" applyBorder="1" applyFont="1" applyNumberFormat="1">
      <alignment horizontal="center" readingOrder="0"/>
    </xf>
    <xf borderId="6" fillId="6" fontId="5" numFmtId="49" xfId="0" applyAlignment="1" applyBorder="1" applyFont="1" applyNumberFormat="1">
      <alignment horizontal="center"/>
    </xf>
    <xf borderId="13" fillId="6" fontId="5" numFmtId="49" xfId="0" applyAlignment="1" applyBorder="1" applyFont="1" applyNumberFormat="1">
      <alignment horizontal="center"/>
    </xf>
    <xf borderId="4" fillId="6" fontId="5" numFmtId="49" xfId="0" applyAlignment="1" applyBorder="1" applyFont="1" applyNumberFormat="1">
      <alignment horizontal="center" readingOrder="0"/>
    </xf>
    <xf borderId="5" fillId="6" fontId="2" numFmtId="0" xfId="0" applyBorder="1" applyFont="1"/>
    <xf borderId="6" fillId="6" fontId="2" numFmtId="0" xfId="0" applyBorder="1" applyFont="1"/>
    <xf borderId="13" fillId="6" fontId="5" numFmtId="49" xfId="0" applyAlignment="1" applyBorder="1" applyFont="1" applyNumberFormat="1">
      <alignment horizontal="center" readingOrder="0" vertical="center"/>
    </xf>
    <xf borderId="23" fillId="0" fontId="6" numFmtId="49" xfId="0" applyAlignment="1" applyBorder="1" applyFont="1" applyNumberFormat="1">
      <alignment readingOrder="0"/>
    </xf>
    <xf borderId="6" fillId="7" fontId="7" numFmtId="0" xfId="0" applyAlignment="1" applyBorder="1" applyFont="1">
      <alignment horizontal="center" readingOrder="0"/>
    </xf>
    <xf borderId="13" fillId="11" fontId="8" numFmtId="164" xfId="0" applyAlignment="1" applyBorder="1" applyFill="1" applyFont="1" applyNumberFormat="1">
      <alignment horizontal="center"/>
    </xf>
    <xf borderId="4" fillId="9" fontId="7" numFmtId="0" xfId="0" applyAlignment="1" applyBorder="1" applyFont="1">
      <alignment horizontal="center"/>
    </xf>
    <xf borderId="5" fillId="9" fontId="2" numFmtId="0" xfId="0" applyBorder="1" applyFont="1"/>
    <xf borderId="6" fillId="9" fontId="2" numFmtId="0" xfId="0" applyBorder="1" applyFont="1"/>
    <xf borderId="4" fillId="10" fontId="7" numFmtId="0" xfId="0" applyAlignment="1" applyBorder="1" applyFont="1">
      <alignment horizontal="center"/>
    </xf>
    <xf borderId="5" fillId="10" fontId="2" numFmtId="0" xfId="0" applyBorder="1" applyFont="1"/>
    <xf borderId="6" fillId="10" fontId="2" numFmtId="0" xfId="0" applyBorder="1" applyFont="1"/>
    <xf borderId="23" fillId="6" fontId="5" numFmtId="49" xfId="0" applyAlignment="1" applyBorder="1" applyFont="1" applyNumberFormat="1">
      <alignment horizontal="center" readingOrder="0"/>
    </xf>
    <xf borderId="6" fillId="7" fontId="7" numFmtId="0" xfId="0" applyAlignment="1" applyBorder="1" applyFont="1">
      <alignment horizontal="center"/>
    </xf>
    <xf borderId="24" fillId="2" fontId="1" numFmtId="49" xfId="0" applyAlignment="1" applyBorder="1" applyFont="1" applyNumberFormat="1">
      <alignment horizontal="center" readingOrder="0" vertical="center"/>
    </xf>
    <xf borderId="25" fillId="12" fontId="3" numFmtId="0" xfId="0" applyAlignment="1" applyBorder="1" applyFill="1" applyFont="1">
      <alignment horizontal="center"/>
    </xf>
    <xf borderId="14" fillId="0" fontId="2" numFmtId="0" xfId="0" applyBorder="1" applyFont="1"/>
    <xf borderId="15" fillId="0" fontId="2" numFmtId="0" xfId="0" applyBorder="1" applyFont="1"/>
    <xf borderId="0" fillId="0" fontId="10" numFmtId="0" xfId="0" applyFont="1"/>
    <xf borderId="26" fillId="0" fontId="2" numFmtId="0" xfId="0" applyBorder="1" applyFont="1"/>
    <xf borderId="19" fillId="0" fontId="2" numFmtId="0" xfId="0" applyBorder="1" applyFont="1"/>
    <xf borderId="20" fillId="0" fontId="2" numFmtId="0" xfId="0" applyBorder="1" applyFont="1"/>
    <xf borderId="27" fillId="2" fontId="1" numFmtId="0" xfId="0" applyAlignment="1" applyBorder="1" applyFont="1">
      <alignment horizontal="center"/>
    </xf>
    <xf borderId="28" fillId="2" fontId="1" numFmtId="0" xfId="0" applyAlignment="1" applyBorder="1" applyFont="1">
      <alignment horizontal="center"/>
    </xf>
    <xf borderId="29" fillId="2" fontId="1" numFmtId="0" xfId="0" applyAlignment="1" applyBorder="1" applyFont="1">
      <alignment horizontal="center"/>
    </xf>
    <xf borderId="30" fillId="2" fontId="1" numFmtId="0" xfId="0" applyBorder="1" applyFont="1"/>
    <xf borderId="31" fillId="9" fontId="10" numFmtId="0" xfId="0" applyBorder="1" applyFont="1"/>
    <xf borderId="32" fillId="9" fontId="10" numFmtId="0" xfId="0" applyBorder="1" applyFont="1"/>
    <xf borderId="33" fillId="9" fontId="10" numFmtId="0" xfId="0" applyBorder="1" applyFont="1"/>
    <xf borderId="34" fillId="12" fontId="11" numFmtId="49" xfId="0" applyAlignment="1" applyBorder="1" applyFont="1" applyNumberFormat="1">
      <alignment horizontal="center"/>
    </xf>
    <xf borderId="34" fillId="4" fontId="11" numFmtId="49" xfId="0" applyAlignment="1" applyBorder="1" applyFont="1" applyNumberFormat="1">
      <alignment horizontal="center" readingOrder="0"/>
    </xf>
    <xf borderId="35" fillId="4" fontId="12" numFmtId="49" xfId="0" applyAlignment="1" applyBorder="1" applyFont="1" applyNumberFormat="1">
      <alignment horizontal="center"/>
    </xf>
    <xf borderId="36" fillId="5" fontId="12" numFmtId="49" xfId="0" applyAlignment="1" applyBorder="1" applyFont="1" applyNumberFormat="1">
      <alignment horizontal="center"/>
    </xf>
    <xf borderId="37" fillId="5" fontId="12" numFmtId="49" xfId="0" applyAlignment="1" applyBorder="1" applyFont="1" applyNumberFormat="1">
      <alignment horizontal="center"/>
    </xf>
    <xf borderId="38" fillId="5" fontId="12" numFmtId="49" xfId="0" applyAlignment="1" applyBorder="1" applyFont="1" applyNumberFormat="1">
      <alignment horizontal="center"/>
    </xf>
    <xf borderId="29" fillId="5" fontId="12" numFmtId="49" xfId="0" applyAlignment="1" applyBorder="1" applyFont="1" applyNumberFormat="1">
      <alignment horizontal="center"/>
    </xf>
    <xf borderId="29" fillId="5" fontId="12" numFmtId="49" xfId="0" applyAlignment="1" applyBorder="1" applyFont="1" applyNumberFormat="1">
      <alignment horizontal="center" vertical="center"/>
    </xf>
    <xf borderId="39" fillId="9" fontId="10" numFmtId="0" xfId="0" applyBorder="1" applyFont="1"/>
    <xf borderId="40" fillId="9" fontId="10" numFmtId="0" xfId="0" applyBorder="1" applyFont="1"/>
    <xf borderId="41" fillId="13" fontId="13" numFmtId="49" xfId="0" applyAlignment="1" applyBorder="1" applyFill="1" applyFont="1" applyNumberFormat="1">
      <alignment vertical="bottom"/>
    </xf>
    <xf borderId="42" fillId="0" fontId="7" numFmtId="49" xfId="0" applyAlignment="1" applyBorder="1" applyFont="1" applyNumberFormat="1">
      <alignment horizontal="left" readingOrder="0"/>
    </xf>
    <xf borderId="43" fillId="0" fontId="7" numFmtId="49" xfId="0" applyAlignment="1" applyBorder="1" applyFont="1" applyNumberFormat="1">
      <alignment horizontal="center" readingOrder="0"/>
    </xf>
    <xf borderId="0" fillId="0" fontId="7" numFmtId="49" xfId="0" applyAlignment="1" applyFont="1" applyNumberFormat="1">
      <alignment horizontal="center" readingOrder="0"/>
    </xf>
    <xf borderId="0" fillId="0" fontId="7" numFmtId="49" xfId="0" applyAlignment="1" applyFont="1" applyNumberFormat="1">
      <alignment horizontal="center"/>
    </xf>
    <xf borderId="44" fillId="7" fontId="7" numFmtId="0" xfId="0" applyAlignment="1" applyBorder="1" applyFont="1">
      <alignment horizontal="center" readingOrder="0"/>
    </xf>
    <xf borderId="39" fillId="7" fontId="7" numFmtId="0" xfId="0" applyAlignment="1" applyBorder="1" applyFont="1">
      <alignment horizontal="center" readingOrder="0"/>
    </xf>
    <xf borderId="45" fillId="8" fontId="8" numFmtId="164" xfId="0" applyAlignment="1" applyBorder="1" applyFont="1" applyNumberFormat="1">
      <alignment horizontal="center"/>
    </xf>
    <xf borderId="44" fillId="7" fontId="7" numFmtId="0" xfId="0" applyAlignment="1" applyBorder="1" applyFont="1">
      <alignment horizontal="center"/>
    </xf>
    <xf borderId="39" fillId="7" fontId="7" numFmtId="0" xfId="0" applyAlignment="1" applyBorder="1" applyFont="1">
      <alignment horizontal="center"/>
    </xf>
    <xf borderId="28" fillId="7" fontId="7" numFmtId="0" xfId="0" applyAlignment="1" applyBorder="1" applyFont="1">
      <alignment horizontal="center"/>
    </xf>
    <xf borderId="46" fillId="7" fontId="7" numFmtId="0" xfId="0" applyAlignment="1" applyBorder="1" applyFont="1">
      <alignment horizontal="center"/>
    </xf>
    <xf borderId="47" fillId="0" fontId="2" numFmtId="0" xfId="0" applyBorder="1" applyFont="1"/>
    <xf borderId="48" fillId="0" fontId="2" numFmtId="0" xfId="0" applyBorder="1" applyFont="1"/>
    <xf borderId="42" fillId="0" fontId="7" numFmtId="49" xfId="0" applyAlignment="1" applyBorder="1" applyFont="1" applyNumberFormat="1">
      <alignment horizontal="left"/>
    </xf>
    <xf borderId="35" fillId="7" fontId="7" numFmtId="0" xfId="0" applyAlignment="1" applyBorder="1" applyFont="1">
      <alignment horizontal="center"/>
    </xf>
    <xf borderId="34" fillId="7" fontId="7" numFmtId="0" xfId="0" applyAlignment="1" applyBorder="1" applyFont="1">
      <alignment horizontal="center"/>
    </xf>
    <xf borderId="43" fillId="0" fontId="7" numFmtId="49" xfId="0" applyAlignment="1" applyBorder="1" applyFont="1" applyNumberFormat="1">
      <alignment horizontal="center"/>
    </xf>
    <xf quotePrefix="1" borderId="0" fillId="0" fontId="7" numFmtId="49" xfId="0" applyAlignment="1" applyFont="1" applyNumberFormat="1">
      <alignment horizontal="center"/>
    </xf>
    <xf borderId="49" fillId="4" fontId="11" numFmtId="49" xfId="0" applyAlignment="1" applyBorder="1" applyFont="1" applyNumberFormat="1">
      <alignment horizontal="center" readingOrder="0"/>
    </xf>
    <xf borderId="0" fillId="0" fontId="7" numFmtId="0" xfId="0" applyAlignment="1" applyFont="1">
      <alignment horizontal="center"/>
    </xf>
    <xf borderId="0" fillId="0" fontId="7" numFmtId="0" xfId="0" applyAlignment="1" applyFont="1">
      <alignment horizontal="center" readingOrder="0"/>
    </xf>
    <xf quotePrefix="1" borderId="43" fillId="0" fontId="7" numFmtId="49" xfId="0" applyAlignment="1" applyBorder="1" applyFont="1" applyNumberFormat="1">
      <alignment horizontal="center"/>
    </xf>
    <xf borderId="35" fillId="13" fontId="7" numFmtId="49" xfId="0" applyAlignment="1" applyBorder="1" applyFont="1" applyNumberFormat="1">
      <alignment horizontal="left" readingOrder="0"/>
    </xf>
    <xf borderId="16" fillId="0" fontId="7" numFmtId="49" xfId="0" applyAlignment="1" applyBorder="1" applyFont="1" applyNumberFormat="1">
      <alignment horizontal="left" readingOrder="0"/>
    </xf>
    <xf borderId="24" fillId="0" fontId="7" numFmtId="49" xfId="0" applyAlignment="1" applyBorder="1" applyFont="1" applyNumberFormat="1">
      <alignment horizontal="center"/>
    </xf>
    <xf borderId="17" fillId="0" fontId="7" numFmtId="49" xfId="0" applyAlignment="1" applyBorder="1" applyFont="1" applyNumberFormat="1">
      <alignment horizontal="center"/>
    </xf>
    <xf borderId="49" fillId="4" fontId="12" numFmtId="49" xfId="0" applyAlignment="1" applyBorder="1" applyFont="1" applyNumberFormat="1">
      <alignment horizontal="center"/>
    </xf>
    <xf borderId="12" fillId="4" fontId="12" numFmtId="49" xfId="0" applyAlignment="1" applyBorder="1" applyFont="1" applyNumberFormat="1">
      <alignment horizontal="center"/>
    </xf>
    <xf borderId="13" fillId="13" fontId="13" numFmtId="49" xfId="0" applyAlignment="1" applyBorder="1" applyFont="1" applyNumberFormat="1">
      <alignment vertical="bottom"/>
    </xf>
    <xf borderId="24" fillId="0" fontId="7" numFmtId="49" xfId="0" applyAlignment="1" applyBorder="1" applyFont="1" applyNumberFormat="1">
      <alignment horizontal="center" readingOrder="0"/>
    </xf>
    <xf borderId="17" fillId="0" fontId="7" numFmtId="49" xfId="0" applyAlignment="1" applyBorder="1" applyFont="1" applyNumberFormat="1">
      <alignment horizontal="center" readingOrder="0"/>
    </xf>
    <xf borderId="46" fillId="7" fontId="7" numFmtId="49" xfId="0" applyAlignment="1" applyBorder="1" applyFont="1" applyNumberFormat="1">
      <alignment horizontal="center"/>
    </xf>
    <xf borderId="34" fillId="13" fontId="7" numFmtId="49" xfId="0" applyAlignment="1" applyBorder="1" applyFont="1" applyNumberFormat="1">
      <alignment horizontal="left"/>
    </xf>
    <xf borderId="50" fillId="12" fontId="3" numFmtId="49" xfId="0" applyAlignment="1" applyBorder="1" applyFont="1" applyNumberFormat="1">
      <alignment horizontal="center" vertical="bottom"/>
    </xf>
    <xf borderId="15" fillId="4" fontId="3" numFmtId="49" xfId="0" applyAlignment="1" applyBorder="1" applyFont="1" applyNumberFormat="1">
      <alignment horizontal="center" readingOrder="0" vertical="bottom"/>
    </xf>
    <xf borderId="15" fillId="4" fontId="14" numFmtId="49" xfId="0" applyAlignment="1" applyBorder="1" applyFont="1" applyNumberFormat="1">
      <alignment horizontal="center" vertical="bottom"/>
    </xf>
    <xf borderId="51" fillId="5" fontId="14" numFmtId="49" xfId="0" applyAlignment="1" applyBorder="1" applyFont="1" applyNumberFormat="1">
      <alignment horizontal="center" vertical="bottom"/>
    </xf>
    <xf borderId="15" fillId="5" fontId="14" numFmtId="49" xfId="0" applyAlignment="1" applyBorder="1" applyFont="1" applyNumberFormat="1">
      <alignment horizontal="center" vertical="bottom"/>
    </xf>
    <xf borderId="14" fillId="5" fontId="14" numFmtId="49" xfId="0" applyAlignment="1" applyBorder="1" applyFont="1" applyNumberFormat="1">
      <alignment horizontal="center" vertical="bottom"/>
    </xf>
    <xf borderId="14" fillId="5" fontId="14" numFmtId="49" xfId="0" applyAlignment="1" applyBorder="1" applyFont="1" applyNumberFormat="1">
      <alignment horizontal="center"/>
    </xf>
    <xf borderId="42" fillId="13" fontId="8" numFmtId="49" xfId="0" applyAlignment="1" applyBorder="1" applyFont="1" applyNumberFormat="1">
      <alignment readingOrder="0" vertical="bottom"/>
    </xf>
    <xf borderId="0" fillId="0" fontId="15" numFmtId="49" xfId="0" applyAlignment="1" applyFont="1" applyNumberFormat="1">
      <alignment readingOrder="0"/>
    </xf>
    <xf borderId="0" fillId="0" fontId="8" numFmtId="49" xfId="0" applyAlignment="1" applyFont="1" applyNumberFormat="1">
      <alignment horizontal="center" vertical="bottom"/>
    </xf>
    <xf borderId="52" fillId="0" fontId="8" numFmtId="49" xfId="0" applyAlignment="1" applyBorder="1" applyFont="1" applyNumberFormat="1">
      <alignment horizontal="center" vertical="bottom"/>
    </xf>
    <xf borderId="53" fillId="7" fontId="9" numFmtId="164" xfId="0" applyAlignment="1" applyBorder="1" applyFont="1" applyNumberFormat="1">
      <alignment vertical="bottom"/>
    </xf>
    <xf borderId="52" fillId="8" fontId="8" numFmtId="164" xfId="0" applyAlignment="1" applyBorder="1" applyFont="1" applyNumberFormat="1">
      <alignment horizontal="center" vertical="bottom"/>
    </xf>
    <xf borderId="20" fillId="7" fontId="8" numFmtId="164" xfId="0" applyAlignment="1" applyBorder="1" applyFont="1" applyNumberFormat="1">
      <alignment horizontal="center" vertical="bottom"/>
    </xf>
    <xf borderId="52" fillId="0" fontId="8" numFmtId="164" xfId="0" applyAlignment="1" applyBorder="1" applyFont="1" applyNumberFormat="1">
      <alignment horizontal="center"/>
    </xf>
    <xf borderId="42" fillId="13" fontId="8" numFmtId="49" xfId="0" applyAlignment="1" applyBorder="1" applyFont="1" applyNumberFormat="1">
      <alignment vertical="bottom"/>
    </xf>
    <xf borderId="52" fillId="0" fontId="8" numFmtId="49" xfId="0" applyAlignment="1" applyBorder="1" applyFont="1" applyNumberFormat="1">
      <alignment readingOrder="0" vertical="bottom"/>
    </xf>
    <xf borderId="54" fillId="13" fontId="8" numFmtId="49" xfId="0" applyAlignment="1" applyBorder="1" applyFont="1" applyNumberFormat="1">
      <alignment readingOrder="0" vertical="bottom"/>
    </xf>
    <xf borderId="55" fillId="7" fontId="9" numFmtId="164" xfId="0" applyAlignment="1" applyBorder="1" applyFont="1" applyNumberFormat="1">
      <alignment vertical="bottom"/>
    </xf>
    <xf borderId="56" fillId="8" fontId="8" numFmtId="164" xfId="0" applyAlignment="1" applyBorder="1" applyFont="1" applyNumberFormat="1">
      <alignment horizontal="center" vertical="bottom"/>
    </xf>
    <xf borderId="19" fillId="7" fontId="8" numFmtId="164" xfId="0" applyAlignment="1" applyBorder="1" applyFont="1" applyNumberFormat="1">
      <alignment horizontal="center" vertical="bottom"/>
    </xf>
    <xf borderId="41" fillId="0" fontId="8" numFmtId="164" xfId="0" applyAlignment="1" applyBorder="1" applyFont="1" applyNumberFormat="1">
      <alignment horizontal="center"/>
    </xf>
    <xf borderId="41" fillId="0" fontId="2" numFmtId="0" xfId="0" applyBorder="1" applyFont="1"/>
    <xf borderId="56" fillId="0" fontId="2" numFmtId="0" xfId="0" applyBorder="1" applyFont="1"/>
    <xf borderId="0" fillId="0" fontId="6" numFmtId="49" xfId="0" applyAlignment="1" applyFont="1" applyNumberFormat="1">
      <alignment horizontal="center" readingOrder="0"/>
    </xf>
    <xf borderId="34" fillId="7" fontId="7" numFmtId="49" xfId="0" applyAlignment="1" applyBorder="1" applyFont="1" applyNumberFormat="1">
      <alignment horizontal="center"/>
    </xf>
    <xf borderId="43" fillId="0" fontId="8" numFmtId="164" xfId="0" applyAlignment="1" applyBorder="1" applyFont="1" applyNumberFormat="1">
      <alignment horizontal="center"/>
    </xf>
    <xf borderId="0" fillId="0" fontId="8" numFmtId="164" xfId="0" applyAlignment="1" applyFont="1" applyNumberFormat="1">
      <alignment horizontal="left" readingOrder="0"/>
    </xf>
    <xf borderId="0" fillId="0" fontId="8" numFmtId="164" xfId="0" applyAlignment="1" applyFont="1" applyNumberFormat="1">
      <alignment horizontal="center" readingOrder="0"/>
    </xf>
    <xf borderId="0" fillId="0" fontId="8" numFmtId="164" xfId="0" applyAlignment="1" applyFont="1" applyNumberFormat="1">
      <alignment horizontal="center"/>
    </xf>
    <xf borderId="29" fillId="2" fontId="16" numFmtId="49" xfId="0" applyAlignment="1" applyBorder="1" applyFont="1" applyNumberFormat="1">
      <alignment horizontal="center"/>
    </xf>
    <xf borderId="28" fillId="7" fontId="7" numFmtId="49" xfId="0" applyAlignment="1" applyBorder="1" applyFont="1" applyNumberFormat="1">
      <alignment horizontal="left"/>
    </xf>
    <xf borderId="46" fillId="7" fontId="7" numFmtId="49" xfId="0" applyAlignment="1" applyBorder="1" applyFont="1" applyNumberFormat="1">
      <alignment horizontal="left"/>
    </xf>
    <xf borderId="57" fillId="7" fontId="7" numFmtId="0" xfId="0" applyAlignment="1" applyBorder="1" applyFont="1">
      <alignment horizontal="center"/>
    </xf>
    <xf borderId="58" fillId="0" fontId="2" numFmtId="0" xfId="0" applyBorder="1" applyFont="1"/>
    <xf borderId="59" fillId="0" fontId="2" numFmtId="0" xfId="0" applyBorder="1" applyFont="1"/>
    <xf borderId="60" fillId="2" fontId="16" numFmtId="49" xfId="0" applyAlignment="1" applyBorder="1" applyFont="1" applyNumberFormat="1">
      <alignment horizontal="center" vertical="center"/>
    </xf>
    <xf borderId="61" fillId="0" fontId="2" numFmtId="0" xfId="0" applyBorder="1" applyFont="1"/>
    <xf borderId="62" fillId="0" fontId="2" numFmtId="0" xfId="0" applyBorder="1" applyFont="1"/>
    <xf borderId="63" fillId="0" fontId="2" numFmtId="0" xfId="0" applyBorder="1" applyFont="1"/>
    <xf borderId="64" fillId="9" fontId="7" numFmtId="49" xfId="0" applyAlignment="1" applyBorder="1" applyFont="1" applyNumberFormat="1">
      <alignment horizontal="center"/>
    </xf>
    <xf borderId="65" fillId="0" fontId="2" numFmtId="0" xfId="0" applyBorder="1" applyFont="1"/>
    <xf borderId="66" fillId="0" fontId="2" numFmtId="0" xfId="0" applyBorder="1" applyFont="1"/>
    <xf borderId="64" fillId="9" fontId="7" numFmtId="0" xfId="0" applyAlignment="1" applyBorder="1" applyFont="1">
      <alignment horizontal="center"/>
    </xf>
    <xf borderId="67" fillId="9" fontId="7" numFmtId="49" xfId="0" applyAlignment="1" applyBorder="1" applyFont="1" applyNumberFormat="1">
      <alignment horizontal="center"/>
    </xf>
    <xf borderId="68" fillId="0" fontId="2" numFmtId="0" xfId="0" applyBorder="1" applyFont="1"/>
    <xf borderId="67" fillId="9" fontId="7" numFmtId="0" xfId="0" applyAlignment="1" applyBorder="1" applyFont="1">
      <alignment horizontal="center"/>
    </xf>
    <xf borderId="69" fillId="9" fontId="7" numFmtId="49" xfId="0" applyAlignment="1" applyBorder="1" applyFont="1" applyNumberFormat="1">
      <alignment horizontal="center"/>
    </xf>
    <xf borderId="70" fillId="0" fontId="2" numFmtId="0" xfId="0" applyBorder="1" applyFont="1"/>
    <xf borderId="71" fillId="0" fontId="2" numFmtId="0" xfId="0" applyBorder="1" applyFont="1"/>
    <xf borderId="69" fillId="9" fontId="7" numFmtId="0" xfId="0" applyAlignment="1" applyBorder="1" applyFont="1">
      <alignment horizontal="center"/>
    </xf>
    <xf borderId="24" fillId="2" fontId="16" numFmtId="49" xfId="0" applyAlignment="1" applyBorder="1" applyFont="1" applyNumberFormat="1">
      <alignment horizontal="center" vertical="center"/>
    </xf>
    <xf borderId="24" fillId="9" fontId="7" numFmtId="49" xfId="0" applyAlignment="1" applyBorder="1" applyFont="1" applyNumberFormat="1">
      <alignment horizontal="center" vertical="center"/>
    </xf>
    <xf borderId="16" fillId="9" fontId="7" numFmtId="49" xfId="0" applyAlignment="1" applyBorder="1" applyFont="1" applyNumberFormat="1">
      <alignment horizontal="center" vertical="center"/>
    </xf>
    <xf borderId="72" fillId="0" fontId="2" numFmtId="0" xfId="0" applyBorder="1" applyFont="1"/>
    <xf borderId="24" fillId="9" fontId="7" numFmtId="0" xfId="0" applyAlignment="1" applyBorder="1" applyFont="1">
      <alignment horizontal="center" vertical="center"/>
    </xf>
    <xf borderId="73" fillId="0" fontId="2" numFmtId="0" xfId="0" applyBorder="1" applyFont="1"/>
    <xf borderId="74" fillId="0" fontId="2" numFmtId="0" xfId="0" applyBorder="1" applyFont="1"/>
    <xf borderId="75" fillId="0" fontId="2" numFmtId="0" xfId="0" applyBorder="1" applyFont="1"/>
    <xf borderId="76" fillId="9" fontId="7" numFmtId="49" xfId="0" applyAlignment="1" applyBorder="1" applyFont="1" applyNumberFormat="1">
      <alignment horizontal="center" vertical="center"/>
    </xf>
    <xf borderId="77" fillId="0" fontId="2" numFmtId="0" xfId="0" applyBorder="1" applyFont="1"/>
    <xf borderId="76" fillId="9" fontId="7" numFmtId="0" xfId="0" applyAlignment="1" applyBorder="1" applyFont="1">
      <alignment horizontal="center" vertical="center"/>
    </xf>
    <xf borderId="78" fillId="9" fontId="7" numFmtId="49" xfId="0" applyAlignment="1" applyBorder="1" applyFont="1" applyNumberFormat="1">
      <alignment horizontal="center" vertical="center"/>
    </xf>
    <xf borderId="28" fillId="7" fontId="7" numFmtId="0" xfId="0" applyAlignment="1" applyBorder="1" applyFont="1">
      <alignment horizontal="left"/>
    </xf>
    <xf borderId="46" fillId="7" fontId="7" numFmtId="0" xfId="0" applyAlignment="1" applyBorder="1" applyFont="1">
      <alignment horizontal="left"/>
    </xf>
    <xf borderId="57" fillId="7" fontId="7" numFmtId="0" xfId="0" applyAlignment="1" applyBorder="1" applyFont="1">
      <alignment horizontal="left"/>
    </xf>
  </cellXfs>
  <cellStyles count="1">
    <cellStyle xfId="0" name="Normal" builtinId="0"/>
  </cellStyles>
  <dxfs count="4">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s>
  <tableStyles count="21">
    <tableStyle count="3" pivot="0" name="Week -1-style">
      <tableStyleElement dxfId="1" type="headerRow"/>
      <tableStyleElement dxfId="2" type="firstRowStripe"/>
      <tableStyleElement dxfId="3" type="secondRowStripe"/>
    </tableStyle>
    <tableStyle count="3" pivot="0" name="Week -1-style 2">
      <tableStyleElement dxfId="1" type="headerRow"/>
      <tableStyleElement dxfId="2" type="firstRowStripe"/>
      <tableStyleElement dxfId="3" type="secondRowStripe"/>
    </tableStyle>
    <tableStyle count="3" pivot="0" name="Week -1-style 3">
      <tableStyleElement dxfId="1" type="headerRow"/>
      <tableStyleElement dxfId="2" type="firstRowStripe"/>
      <tableStyleElement dxfId="3" type="secondRowStripe"/>
    </tableStyle>
    <tableStyle count="3" pivot="0" name="WEEK 1-style">
      <tableStyleElement dxfId="1" type="headerRow"/>
      <tableStyleElement dxfId="2" type="firstRowStripe"/>
      <tableStyleElement dxfId="3" type="secondRowStripe"/>
    </tableStyle>
    <tableStyle count="3" pivot="0" name="WEEK 1-style 2">
      <tableStyleElement dxfId="1" type="headerRow"/>
      <tableStyleElement dxfId="2" type="firstRowStripe"/>
      <tableStyleElement dxfId="3" type="secondRowStripe"/>
    </tableStyle>
    <tableStyle count="3" pivot="0" name="WEEK 1-style 3">
      <tableStyleElement dxfId="1" type="headerRow"/>
      <tableStyleElement dxfId="2" type="firstRowStripe"/>
      <tableStyleElement dxfId="3" type="secondRowStripe"/>
    </tableStyle>
    <tableStyle count="3" pivot="0" name="WEEK 2-style">
      <tableStyleElement dxfId="1" type="headerRow"/>
      <tableStyleElement dxfId="2" type="firstRowStripe"/>
      <tableStyleElement dxfId="3" type="secondRowStripe"/>
    </tableStyle>
    <tableStyle count="3" pivot="0" name="WEEK 2-style 2">
      <tableStyleElement dxfId="1" type="headerRow"/>
      <tableStyleElement dxfId="2" type="firstRowStripe"/>
      <tableStyleElement dxfId="3" type="secondRowStripe"/>
    </tableStyle>
    <tableStyle count="3" pivot="0" name="WEEK 2-style 3">
      <tableStyleElement dxfId="1" type="headerRow"/>
      <tableStyleElement dxfId="2" type="firstRowStripe"/>
      <tableStyleElement dxfId="3" type="secondRowStripe"/>
    </tableStyle>
    <tableStyle count="3" pivot="0" name="WEEK 3-style">
      <tableStyleElement dxfId="1" type="headerRow"/>
      <tableStyleElement dxfId="2" type="firstRowStripe"/>
      <tableStyleElement dxfId="3" type="secondRowStripe"/>
    </tableStyle>
    <tableStyle count="3" pivot="0" name="WEEK 3-style 2">
      <tableStyleElement dxfId="1" type="headerRow"/>
      <tableStyleElement dxfId="2" type="firstRowStripe"/>
      <tableStyleElement dxfId="3" type="secondRowStripe"/>
    </tableStyle>
    <tableStyle count="3" pivot="0" name="WEEK 3-style 3">
      <tableStyleElement dxfId="1" type="headerRow"/>
      <tableStyleElement dxfId="2" type="firstRowStripe"/>
      <tableStyleElement dxfId="3" type="secondRowStripe"/>
    </tableStyle>
    <tableStyle count="3" pivot="0" name="Week 4-style">
      <tableStyleElement dxfId="1" type="headerRow"/>
      <tableStyleElement dxfId="2" type="firstRowStripe"/>
      <tableStyleElement dxfId="3" type="secondRowStripe"/>
    </tableStyle>
    <tableStyle count="3" pivot="0" name="Week 4-style 2">
      <tableStyleElement dxfId="1" type="headerRow"/>
      <tableStyleElement dxfId="2" type="firstRowStripe"/>
      <tableStyleElement dxfId="3" type="secondRowStripe"/>
    </tableStyle>
    <tableStyle count="3" pivot="0" name="Week 4-style 3">
      <tableStyleElement dxfId="1" type="headerRow"/>
      <tableStyleElement dxfId="2" type="firstRowStripe"/>
      <tableStyleElement dxfId="3" type="secondRowStripe"/>
    </tableStyle>
    <tableStyle count="3" pivot="0" name="Week 5-style">
      <tableStyleElement dxfId="1" type="headerRow"/>
      <tableStyleElement dxfId="2" type="firstRowStripe"/>
      <tableStyleElement dxfId="3" type="secondRowStripe"/>
    </tableStyle>
    <tableStyle count="3" pivot="0" name="Week 5-style 2">
      <tableStyleElement dxfId="1" type="headerRow"/>
      <tableStyleElement dxfId="2" type="firstRowStripe"/>
      <tableStyleElement dxfId="3" type="secondRowStripe"/>
    </tableStyle>
    <tableStyle count="3" pivot="0" name="Week 5-style 3">
      <tableStyleElement dxfId="1" type="headerRow"/>
      <tableStyleElement dxfId="2" type="firstRowStripe"/>
      <tableStyleElement dxfId="3" type="secondRowStripe"/>
    </tableStyle>
    <tableStyle count="3" pivot="0" name="Copy of Week 5-style">
      <tableStyleElement dxfId="1" type="headerRow"/>
      <tableStyleElement dxfId="2" type="firstRowStripe"/>
      <tableStyleElement dxfId="3" type="secondRowStripe"/>
    </tableStyle>
    <tableStyle count="3" pivot="0" name="Copy of Week 5-style 2">
      <tableStyleElement dxfId="1" type="headerRow"/>
      <tableStyleElement dxfId="2" type="firstRowStripe"/>
      <tableStyleElement dxfId="3" type="secondRowStripe"/>
    </tableStyle>
    <tableStyle count="3" pivot="0" name="Copy of Week 5-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G31" displayName="Table_1" name="Table_1" id="1">
  <tableColumns count="7">
    <tableColumn name="Day 1" id="1"/>
    <tableColumn name="Sets" id="2"/>
    <tableColumn name="Rep Range" id="3"/>
    <tableColumn name="RPE" id="4"/>
    <tableColumn name="RP" id="5"/>
    <tableColumn name="Load" id="6"/>
    <tableColumn name="Reps" id="7"/>
  </tableColumns>
  <tableStyleInfo name="Week -1-style" showColumnStripes="0" showFirstColumn="1" showLastColumn="1" showRowStripes="1"/>
</table>
</file>

<file path=xl/tables/table2.xml><?xml version="1.0" encoding="utf-8"?>
<table xmlns="http://schemas.openxmlformats.org/spreadsheetml/2006/main" ref="I3:J31" displayName="Table_2" name="Table_2" id="2">
  <tableColumns count="2">
    <tableColumn name="Load" id="1"/>
    <tableColumn name="Reps" id="2"/>
  </tableColumns>
  <tableStyleInfo name="Week -1-style 2" showColumnStripes="0" showFirstColumn="1" showLastColumn="1" showRowStripes="1"/>
</table>
</file>

<file path=xl/tables/table3.xml><?xml version="1.0" encoding="utf-8"?>
<table xmlns="http://schemas.openxmlformats.org/spreadsheetml/2006/main" ref="L3:M31" displayName="Table_3" name="Table_3" id="3">
  <tableColumns count="2">
    <tableColumn name="Load" id="1"/>
    <tableColumn name="Reps" id="2"/>
  </tableColumns>
  <tableStyleInfo name="Week -1-style 3" showColumnStripes="0" showFirstColumn="1" showLastColumn="1" showRowStripes="1"/>
</table>
</file>

<file path=xl/tables/table4.xml><?xml version="1.0" encoding="utf-8"?>
<table xmlns="http://schemas.openxmlformats.org/spreadsheetml/2006/main" ref="A3:G31" displayName="Table_4" name="Table_4" id="4">
  <tableColumns count="7">
    <tableColumn name="Day 1" id="1"/>
    <tableColumn name="Sets" id="2"/>
    <tableColumn name="Rep Range" id="3"/>
    <tableColumn name="RPE" id="4"/>
    <tableColumn name="Rest Period" id="5"/>
    <tableColumn name="Load" id="6"/>
    <tableColumn name="Reps" id="7"/>
  </tableColumns>
  <tableStyleInfo name="WEEK 1-style" showColumnStripes="0" showFirstColumn="1" showLastColumn="1" showRowStripes="1"/>
</table>
</file>

<file path=xl/tables/table5.xml><?xml version="1.0" encoding="utf-8"?>
<table xmlns="http://schemas.openxmlformats.org/spreadsheetml/2006/main" ref="I3:J31" displayName="Table_5" name="Table_5" id="5">
  <tableColumns count="2">
    <tableColumn name="Load" id="1"/>
    <tableColumn name="Reps" id="2"/>
  </tableColumns>
  <tableStyleInfo name="WEEK 1-style 2" showColumnStripes="0" showFirstColumn="1" showLastColumn="1" showRowStripes="1"/>
</table>
</file>

<file path=xl/tables/table6.xml><?xml version="1.0" encoding="utf-8"?>
<table xmlns="http://schemas.openxmlformats.org/spreadsheetml/2006/main" ref="L3:M31" displayName="Table_6" name="Table_6" id="6">
  <tableColumns count="2">
    <tableColumn name="Load" id="1"/>
    <tableColumn name="Reps" id="2"/>
  </tableColumns>
  <tableStyleInfo name="WEEK 1-style 3" showColumnStripes="0" showFirstColumn="1" showLastColumn="1" showRowStripes="1"/>
</table>
</file>

<file path=xl/tables/table7.xml><?xml version="1.0" encoding="utf-8"?>
<table xmlns="http://schemas.openxmlformats.org/spreadsheetml/2006/main" ref="A3:G31" displayName="Table_7" name="Table_7" id="7">
  <tableColumns count="7">
    <tableColumn name="Day 1" id="1"/>
    <tableColumn name="Sets" id="2"/>
    <tableColumn name="Rep Range" id="3"/>
    <tableColumn name="RPE" id="4"/>
    <tableColumn name="Rest Period" id="5"/>
    <tableColumn name="Load" id="6"/>
    <tableColumn name="Reps" id="7"/>
  </tableColumns>
  <tableStyleInfo name="WEEK 2-style" showColumnStripes="0" showFirstColumn="1" showLastColumn="1" showRowStripes="1"/>
</table>
</file>

<file path=xl/tables/table8.xml><?xml version="1.0" encoding="utf-8"?>
<table xmlns="http://schemas.openxmlformats.org/spreadsheetml/2006/main" ref="I3:J31" displayName="Table_8" name="Table_8" id="8">
  <tableColumns count="2">
    <tableColumn name="Load" id="1"/>
    <tableColumn name="Reps" id="2"/>
  </tableColumns>
  <tableStyleInfo name="WEEK 2-style 2" showColumnStripes="0" showFirstColumn="1" showLastColumn="1" showRowStripes="1"/>
</table>
</file>

<file path=xl/tables/table9.xml><?xml version="1.0" encoding="utf-8"?>
<table xmlns="http://schemas.openxmlformats.org/spreadsheetml/2006/main" ref="L3:M31" displayName="Table_9" name="Table_9" id="9">
  <tableColumns count="2">
    <tableColumn name="Load" id="1"/>
    <tableColumn name="Reps" id="2"/>
  </tableColumns>
  <tableStyleInfo name="WEEK 2-style 3" showColumnStripes="0" showFirstColumn="1" showLastColumn="1" showRowStripes="1"/>
</table>
</file>

<file path=xl/tables/table10.xml><?xml version="1.0" encoding="utf-8"?>
<table xmlns="http://schemas.openxmlformats.org/spreadsheetml/2006/main" ref="A2:C28" displayName="Table_10" name="Table_10" id="10">
  <tableColumns count="3">
    <tableColumn name="Day 1" id="1"/>
    <tableColumn name="Load" id="2"/>
    <tableColumn name="Reps" id="3"/>
  </tableColumns>
  <tableStyleInfo name="WEEK 3-style" showColumnStripes="0" showFirstColumn="1" showLastColumn="1" showRowStripes="1"/>
</table>
</file>

<file path=xl/tables/table11.xml><?xml version="1.0" encoding="utf-8"?>
<table xmlns="http://schemas.openxmlformats.org/spreadsheetml/2006/main" ref="E2:F28" displayName="Table_11" name="Table_11" id="11">
  <tableColumns count="2">
    <tableColumn name="Load" id="1"/>
    <tableColumn name="Reps" id="2"/>
  </tableColumns>
  <tableStyleInfo name="WEEK 3-style 2" showColumnStripes="0" showFirstColumn="1" showLastColumn="1" showRowStripes="1"/>
</table>
</file>

<file path=xl/tables/table12.xml><?xml version="1.0" encoding="utf-8"?>
<table xmlns="http://schemas.openxmlformats.org/spreadsheetml/2006/main" ref="H2:I28" displayName="Table_12" name="Table_12" id="12">
  <tableColumns count="2">
    <tableColumn name="Load" id="1"/>
    <tableColumn name="Reps" id="2"/>
  </tableColumns>
  <tableStyleInfo name="WEEK 3-style 3" showColumnStripes="0" showFirstColumn="1" showLastColumn="1" showRowStripes="1"/>
</table>
</file>

<file path=xl/tables/table13.xml><?xml version="1.0" encoding="utf-8"?>
<table xmlns="http://schemas.openxmlformats.org/spreadsheetml/2006/main" ref="A2:C28" displayName="Table_13" name="Table_13" id="13">
  <tableColumns count="3">
    <tableColumn name="Day 1" id="1"/>
    <tableColumn name="Load" id="2"/>
    <tableColumn name="Reps" id="3"/>
  </tableColumns>
  <tableStyleInfo name="Week 4-style" showColumnStripes="0" showFirstColumn="1" showLastColumn="1" showRowStripes="1"/>
</table>
</file>

<file path=xl/tables/table14.xml><?xml version="1.0" encoding="utf-8"?>
<table xmlns="http://schemas.openxmlformats.org/spreadsheetml/2006/main" ref="E2:F28" displayName="Table_14" name="Table_14" id="14">
  <tableColumns count="2">
    <tableColumn name="Load" id="1"/>
    <tableColumn name="Reps" id="2"/>
  </tableColumns>
  <tableStyleInfo name="Week 4-style 2" showColumnStripes="0" showFirstColumn="1" showLastColumn="1" showRowStripes="1"/>
</table>
</file>

<file path=xl/tables/table15.xml><?xml version="1.0" encoding="utf-8"?>
<table xmlns="http://schemas.openxmlformats.org/spreadsheetml/2006/main" ref="H2:I28" displayName="Table_15" name="Table_15" id="15">
  <tableColumns count="2">
    <tableColumn name="Load" id="1"/>
    <tableColumn name="Reps" id="2"/>
  </tableColumns>
  <tableStyleInfo name="Week 4-style 3" showColumnStripes="0" showFirstColumn="1" showLastColumn="1" showRowStripes="1"/>
</table>
</file>

<file path=xl/tables/table16.xml><?xml version="1.0" encoding="utf-8"?>
<table xmlns="http://schemas.openxmlformats.org/spreadsheetml/2006/main" ref="A2:C28" displayName="Table_16" name="Table_16" id="16">
  <tableColumns count="3">
    <tableColumn name="Day 1" id="1"/>
    <tableColumn name="Load" id="2"/>
    <tableColumn name="Reps" id="3"/>
  </tableColumns>
  <tableStyleInfo name="Week 5-style" showColumnStripes="0" showFirstColumn="1" showLastColumn="1" showRowStripes="1"/>
</table>
</file>

<file path=xl/tables/table17.xml><?xml version="1.0" encoding="utf-8"?>
<table xmlns="http://schemas.openxmlformats.org/spreadsheetml/2006/main" ref="E2:F28" displayName="Table_17" name="Table_17" id="17">
  <tableColumns count="2">
    <tableColumn name="Load" id="1"/>
    <tableColumn name="Reps" id="2"/>
  </tableColumns>
  <tableStyleInfo name="Week 5-style 2" showColumnStripes="0" showFirstColumn="1" showLastColumn="1" showRowStripes="1"/>
</table>
</file>

<file path=xl/tables/table18.xml><?xml version="1.0" encoding="utf-8"?>
<table xmlns="http://schemas.openxmlformats.org/spreadsheetml/2006/main" ref="H2:I28" displayName="Table_18" name="Table_18" id="18">
  <tableColumns count="2">
    <tableColumn name="Load" id="1"/>
    <tableColumn name="Reps" id="2"/>
  </tableColumns>
  <tableStyleInfo name="Week 5-style 3" showColumnStripes="0" showFirstColumn="1" showLastColumn="1" showRowStripes="1"/>
</table>
</file>

<file path=xl/tables/table19.xml><?xml version="1.0" encoding="utf-8"?>
<table xmlns="http://schemas.openxmlformats.org/spreadsheetml/2006/main" ref="A2:C28" displayName="Table_19" name="Table_19" id="19">
  <tableColumns count="3">
    <tableColumn name="Day 1" id="1"/>
    <tableColumn name="Load" id="2"/>
    <tableColumn name="Reps" id="3"/>
  </tableColumns>
  <tableStyleInfo name="Copy of Week 5-style" showColumnStripes="0" showFirstColumn="1" showLastColumn="1" showRowStripes="1"/>
</table>
</file>

<file path=xl/tables/table20.xml><?xml version="1.0" encoding="utf-8"?>
<table xmlns="http://schemas.openxmlformats.org/spreadsheetml/2006/main" ref="E2:F28" displayName="Table_20" name="Table_20" id="20">
  <tableColumns count="2">
    <tableColumn name="Load" id="1"/>
    <tableColumn name="Reps" id="2"/>
  </tableColumns>
  <tableStyleInfo name="Copy of Week 5-style 2" showColumnStripes="0" showFirstColumn="1" showLastColumn="1" showRowStripes="1"/>
</table>
</file>

<file path=xl/tables/table21.xml><?xml version="1.0" encoding="utf-8"?>
<table xmlns="http://schemas.openxmlformats.org/spreadsheetml/2006/main" ref="H2:I28" displayName="Table_21" name="Table_21" id="21">
  <tableColumns count="2">
    <tableColumn name="Load" id="1"/>
    <tableColumn name="Reps" id="2"/>
  </tableColumns>
  <tableStyleInfo name="Copy of Week 5-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7.xml"/><Relationship Id="rId6" Type="http://schemas.openxmlformats.org/officeDocument/2006/relationships/table" Target="../tables/table8.xml"/><Relationship Id="rId7"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10.xml"/><Relationship Id="rId6" Type="http://schemas.openxmlformats.org/officeDocument/2006/relationships/table" Target="../tables/table11.xml"/><Relationship Id="rId7"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16.xml"/><Relationship Id="rId6" Type="http://schemas.openxmlformats.org/officeDocument/2006/relationships/table" Target="../tables/table17.xml"/><Relationship Id="rId7" Type="http://schemas.openxmlformats.org/officeDocument/2006/relationships/table" Target="../tables/table1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19.xml"/><Relationship Id="rId6" Type="http://schemas.openxmlformats.org/officeDocument/2006/relationships/table" Target="../tables/table20.xml"/><Relationship Id="rId7" Type="http://schemas.openxmlformats.org/officeDocument/2006/relationships/table" Target="../tables/table2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5.25"/>
    <col customWidth="1" min="2" max="2" width="9.25"/>
    <col customWidth="1" min="3" max="3" width="12.13"/>
    <col customWidth="1" min="4" max="4" width="6.75"/>
    <col customWidth="1" min="5" max="5" width="6.13"/>
    <col customWidth="1" min="6" max="6" width="10.75"/>
    <col customWidth="1" min="7" max="7" width="8.38"/>
    <col customWidth="1" min="8" max="8" width="7.13"/>
    <col customWidth="1" min="9" max="10" width="10.88"/>
    <col customWidth="1" min="11" max="11" width="7.75"/>
    <col customWidth="1" min="12" max="13" width="10.88"/>
    <col customWidth="1" min="14" max="14" width="6.63"/>
    <col customWidth="1" min="15" max="16" width="10.88"/>
    <col customWidth="1" min="17" max="17" width="7.25"/>
    <col customWidth="1" min="18" max="18" width="33.25"/>
  </cols>
  <sheetData>
    <row r="1" ht="15.0" customHeight="1">
      <c r="A1" s="1"/>
      <c r="B1" s="2"/>
      <c r="C1" s="2"/>
      <c r="D1" s="2"/>
      <c r="E1" s="3"/>
      <c r="F1" s="4" t="s">
        <v>0</v>
      </c>
      <c r="G1" s="5"/>
      <c r="H1" s="5"/>
      <c r="I1" s="5"/>
      <c r="J1" s="5"/>
      <c r="K1" s="5"/>
      <c r="L1" s="5"/>
      <c r="M1" s="5"/>
      <c r="N1" s="5"/>
      <c r="O1" s="5"/>
      <c r="P1" s="5"/>
      <c r="Q1" s="5"/>
      <c r="R1" s="6"/>
    </row>
    <row r="2" ht="16.5" customHeight="1">
      <c r="A2" s="7"/>
      <c r="B2" s="8"/>
      <c r="C2" s="8"/>
      <c r="D2" s="8"/>
      <c r="E2" s="9"/>
      <c r="F2" s="10" t="s">
        <v>1</v>
      </c>
      <c r="G2" s="5"/>
      <c r="H2" s="6"/>
      <c r="I2" s="10" t="s">
        <v>2</v>
      </c>
      <c r="J2" s="5"/>
      <c r="K2" s="6"/>
      <c r="L2" s="10" t="s">
        <v>3</v>
      </c>
      <c r="M2" s="5"/>
      <c r="N2" s="6"/>
      <c r="O2" s="11" t="s">
        <v>4</v>
      </c>
      <c r="P2" s="12"/>
      <c r="Q2" s="13"/>
      <c r="R2" s="14"/>
    </row>
    <row r="3" ht="16.5" customHeight="1">
      <c r="A3" s="15" t="s">
        <v>5</v>
      </c>
      <c r="B3" s="16" t="s">
        <v>6</v>
      </c>
      <c r="C3" s="16" t="s">
        <v>7</v>
      </c>
      <c r="D3" s="16" t="s">
        <v>8</v>
      </c>
      <c r="E3" s="17" t="s">
        <v>9</v>
      </c>
      <c r="F3" s="18" t="s">
        <v>10</v>
      </c>
      <c r="G3" s="18" t="s">
        <v>11</v>
      </c>
      <c r="H3" s="19" t="s">
        <v>12</v>
      </c>
      <c r="I3" s="18" t="s">
        <v>10</v>
      </c>
      <c r="J3" s="18" t="s">
        <v>11</v>
      </c>
      <c r="K3" s="19" t="s">
        <v>12</v>
      </c>
      <c r="L3" s="18" t="s">
        <v>10</v>
      </c>
      <c r="M3" s="18" t="s">
        <v>11</v>
      </c>
      <c r="N3" s="19" t="s">
        <v>12</v>
      </c>
      <c r="O3" s="20" t="s">
        <v>13</v>
      </c>
      <c r="P3" s="21"/>
      <c r="Q3" s="22"/>
      <c r="R3" s="23"/>
    </row>
    <row r="4" ht="16.5" customHeight="1">
      <c r="A4" s="24" t="s">
        <v>14</v>
      </c>
      <c r="B4" s="25" t="s">
        <v>15</v>
      </c>
      <c r="C4" s="26" t="s">
        <v>16</v>
      </c>
      <c r="D4" s="27"/>
      <c r="E4" s="25" t="s">
        <v>17</v>
      </c>
      <c r="F4" s="28">
        <v>100.0</v>
      </c>
      <c r="G4" s="28">
        <v>11.0</v>
      </c>
      <c r="H4" s="29">
        <f t="shared" ref="H4:H9" si="1">F4/(1.0278-(0.0278*G4))</f>
        <v>138.5041551</v>
      </c>
      <c r="I4" s="28">
        <v>100.0</v>
      </c>
      <c r="J4" s="28">
        <v>9.0</v>
      </c>
      <c r="K4" s="29">
        <f t="shared" ref="K4:K9" si="2">I4/(1.0278-(0.0278*J4))</f>
        <v>128.600823</v>
      </c>
      <c r="L4" s="28">
        <v>115.0</v>
      </c>
      <c r="M4" s="28">
        <v>8.0</v>
      </c>
      <c r="N4" s="29">
        <f t="shared" ref="N4:N9" si="3">L4/(1.0278-(0.0278*M4))</f>
        <v>142.7861932</v>
      </c>
      <c r="O4" s="30">
        <f t="shared" ref="O4:O9" si="4">+F4*G4+I4*J4+L4*M4</f>
        <v>2920</v>
      </c>
      <c r="P4" s="31"/>
      <c r="Q4" s="32"/>
      <c r="R4" s="33" t="str">
        <f>IF(OR(ISBLANK(O4), ISBLANK('WEEK 1'!O4)), "", (O4 - 'WEEK 1'!O4) &amp; " " &amp; IF(O4 - 'WEEK 1'!O4 &gt; 0, "INCREASE", IF(O4 - 'WEEK 1'!O4 &lt; 0, "DECREASE", "NO CHANGE")))</f>
        <v>-370 DECREASE</v>
      </c>
    </row>
    <row r="5" ht="16.5" customHeight="1">
      <c r="A5" s="24" t="s">
        <v>18</v>
      </c>
      <c r="B5" s="25" t="s">
        <v>15</v>
      </c>
      <c r="C5" s="26" t="s">
        <v>19</v>
      </c>
      <c r="D5" s="27"/>
      <c r="E5" s="25" t="s">
        <v>17</v>
      </c>
      <c r="F5" s="28">
        <v>80.0</v>
      </c>
      <c r="G5" s="28">
        <v>8.0</v>
      </c>
      <c r="H5" s="29">
        <f t="shared" si="1"/>
        <v>99.3295257</v>
      </c>
      <c r="I5" s="28">
        <v>80.0</v>
      </c>
      <c r="J5" s="28">
        <v>8.0</v>
      </c>
      <c r="K5" s="29">
        <f t="shared" si="2"/>
        <v>99.3295257</v>
      </c>
      <c r="L5" s="28">
        <v>80.0</v>
      </c>
      <c r="M5" s="28">
        <v>6.0</v>
      </c>
      <c r="N5" s="29">
        <f t="shared" si="3"/>
        <v>92.91521487</v>
      </c>
      <c r="O5" s="34">
        <f t="shared" si="4"/>
        <v>1760</v>
      </c>
      <c r="P5" s="35"/>
      <c r="Q5" s="36"/>
      <c r="R5" s="37" t="str">
        <f>IF(OR(ISBLANK(O5), ISBLANK('WEEK 1'!O5)), "", (O5 - 'WEEK 1'!O5) &amp; " " &amp; IF(O5 - 'WEEK 1'!O5 &gt; 0, "INCREASE", IF(O5 - 'WEEK 1'!O5 &lt; 0, "DECREASE", "NO CHANGE")))</f>
        <v>365 INCREASE</v>
      </c>
    </row>
    <row r="6" ht="16.5" customHeight="1">
      <c r="A6" s="24" t="s">
        <v>20</v>
      </c>
      <c r="B6" s="25" t="s">
        <v>15</v>
      </c>
      <c r="C6" s="26" t="s">
        <v>19</v>
      </c>
      <c r="D6" s="27"/>
      <c r="E6" s="25" t="s">
        <v>17</v>
      </c>
      <c r="F6" s="28">
        <v>30.0</v>
      </c>
      <c r="G6" s="28">
        <v>8.0</v>
      </c>
      <c r="H6" s="29">
        <f t="shared" si="1"/>
        <v>37.24857214</v>
      </c>
      <c r="I6" s="28">
        <v>65.0</v>
      </c>
      <c r="J6" s="28">
        <v>6.0</v>
      </c>
      <c r="K6" s="29">
        <f t="shared" si="2"/>
        <v>75.49361208</v>
      </c>
      <c r="L6" s="28">
        <v>55.0</v>
      </c>
      <c r="M6" s="28">
        <v>8.0</v>
      </c>
      <c r="N6" s="29">
        <f t="shared" si="3"/>
        <v>68.28904892</v>
      </c>
      <c r="O6" s="30">
        <f t="shared" si="4"/>
        <v>1070</v>
      </c>
      <c r="P6" s="31"/>
      <c r="Q6" s="32"/>
      <c r="R6" s="33" t="str">
        <f>IF(OR(ISBLANK(O6), ISBLANK('WEEK 1'!O6)), "", (O6 - 'WEEK 1'!O6) &amp; " " &amp; IF(O6 - 'WEEK 1'!O6 &gt; 0, "INCREASE", IF(O6 - 'WEEK 1'!O6 &lt; 0, "DECREASE", "NO CHANGE")))</f>
        <v>-485 DECREASE</v>
      </c>
    </row>
    <row r="7" ht="16.5" customHeight="1">
      <c r="A7" s="24" t="s">
        <v>21</v>
      </c>
      <c r="B7" s="25" t="s">
        <v>15</v>
      </c>
      <c r="C7" s="26" t="s">
        <v>22</v>
      </c>
      <c r="D7" s="27"/>
      <c r="E7" s="25" t="s">
        <v>17</v>
      </c>
      <c r="F7" s="28">
        <v>50.0</v>
      </c>
      <c r="G7" s="28">
        <v>7.0</v>
      </c>
      <c r="H7" s="29">
        <f t="shared" si="1"/>
        <v>60.00960154</v>
      </c>
      <c r="I7" s="28">
        <v>70.0</v>
      </c>
      <c r="J7" s="28">
        <v>7.0</v>
      </c>
      <c r="K7" s="29">
        <f t="shared" si="2"/>
        <v>84.01344215</v>
      </c>
      <c r="L7" s="28">
        <v>70.0</v>
      </c>
      <c r="M7" s="28">
        <v>8.0</v>
      </c>
      <c r="N7" s="29">
        <f t="shared" si="3"/>
        <v>86.91333499</v>
      </c>
      <c r="O7" s="34">
        <f t="shared" si="4"/>
        <v>1400</v>
      </c>
      <c r="P7" s="35"/>
      <c r="Q7" s="36"/>
      <c r="R7" s="37" t="str">
        <f>IF(OR(ISBLANK(O7), ISBLANK('WEEK 1'!O7)), "", (O7 - 'WEEK 1'!O7) &amp; " " &amp; IF(O7 - 'WEEK 1'!O7 &gt; 0, "INCREASE", IF(O7 - 'WEEK 1'!O7 &lt; 0, "DECREASE", "NO CHANGE")))</f>
        <v>245 INCREASE</v>
      </c>
    </row>
    <row r="8" ht="16.5" customHeight="1">
      <c r="A8" s="24" t="s">
        <v>23</v>
      </c>
      <c r="B8" s="25" t="s">
        <v>15</v>
      </c>
      <c r="C8" s="26" t="s">
        <v>24</v>
      </c>
      <c r="D8" s="27"/>
      <c r="E8" s="25" t="s">
        <v>17</v>
      </c>
      <c r="F8" s="28">
        <v>100.0</v>
      </c>
      <c r="G8" s="28">
        <v>10.0</v>
      </c>
      <c r="H8" s="29">
        <f t="shared" si="1"/>
        <v>133.3688984</v>
      </c>
      <c r="I8" s="28">
        <v>115.0</v>
      </c>
      <c r="J8" s="28">
        <v>10.0</v>
      </c>
      <c r="K8" s="29">
        <f t="shared" si="2"/>
        <v>153.3742331</v>
      </c>
      <c r="L8" s="28">
        <v>115.0</v>
      </c>
      <c r="M8" s="28">
        <v>12.0</v>
      </c>
      <c r="N8" s="29">
        <f t="shared" si="3"/>
        <v>165.6583117</v>
      </c>
      <c r="O8" s="30">
        <f t="shared" si="4"/>
        <v>3530</v>
      </c>
      <c r="P8" s="31"/>
      <c r="Q8" s="32"/>
      <c r="R8" s="33" t="str">
        <f>IF(OR(ISBLANK(O8), ISBLANK('WEEK 1'!O8)), "", (O8 - 'WEEK 1'!O8) &amp; " " &amp; IF(O8 - 'WEEK 1'!O8 &gt; 0, "INCREASE", IF(O8 - 'WEEK 1'!O8 &lt; 0, "DECREASE", "NO CHANGE")))</f>
        <v>615 INCREASE</v>
      </c>
    </row>
    <row r="9" ht="16.5" customHeight="1">
      <c r="A9" s="24" t="s">
        <v>25</v>
      </c>
      <c r="B9" s="25" t="s">
        <v>15</v>
      </c>
      <c r="C9" s="26" t="s">
        <v>26</v>
      </c>
      <c r="D9" s="27"/>
      <c r="E9" s="25" t="s">
        <v>17</v>
      </c>
      <c r="F9" s="38"/>
      <c r="G9" s="38"/>
      <c r="H9" s="29">
        <f t="shared" si="1"/>
        <v>0</v>
      </c>
      <c r="I9" s="38"/>
      <c r="J9" s="38"/>
      <c r="K9" s="29">
        <f t="shared" si="2"/>
        <v>0</v>
      </c>
      <c r="L9" s="38"/>
      <c r="M9" s="38"/>
      <c r="N9" s="29">
        <f t="shared" si="3"/>
        <v>0</v>
      </c>
      <c r="O9" s="34">
        <f t="shared" si="4"/>
        <v>0</v>
      </c>
      <c r="P9" s="35"/>
      <c r="Q9" s="36"/>
      <c r="R9" s="37" t="str">
        <f>IF(OR(ISBLANK(O9), ISBLANK('WEEK 1'!O9)), "", (O9 - 'WEEK 1'!O9) &amp; " " &amp; IF(O9 - 'WEEK 1'!O9 &gt; 0, "INCREASE", IF(O9 - 'WEEK 1'!O9 &lt; 0, "DECREASE", "NO CHANGE")))</f>
        <v>-4360 DECREASE</v>
      </c>
    </row>
    <row r="10" ht="16.5" customHeight="1">
      <c r="A10" s="17" t="s">
        <v>27</v>
      </c>
      <c r="B10" s="16" t="s">
        <v>6</v>
      </c>
      <c r="C10" s="16" t="s">
        <v>7</v>
      </c>
      <c r="D10" s="16" t="s">
        <v>8</v>
      </c>
      <c r="E10" s="16" t="s">
        <v>28</v>
      </c>
      <c r="F10" s="18" t="s">
        <v>10</v>
      </c>
      <c r="G10" s="18" t="s">
        <v>11</v>
      </c>
      <c r="H10" s="19" t="s">
        <v>12</v>
      </c>
      <c r="I10" s="18" t="s">
        <v>10</v>
      </c>
      <c r="J10" s="18" t="s">
        <v>11</v>
      </c>
      <c r="K10" s="19" t="s">
        <v>12</v>
      </c>
      <c r="L10" s="18" t="s">
        <v>10</v>
      </c>
      <c r="M10" s="18" t="s">
        <v>11</v>
      </c>
      <c r="N10" s="19" t="s">
        <v>12</v>
      </c>
      <c r="O10" s="39" t="s">
        <v>13</v>
      </c>
      <c r="P10" s="40"/>
      <c r="Q10" s="41"/>
      <c r="R10" s="33"/>
    </row>
    <row r="11" ht="15.75" customHeight="1">
      <c r="A11" s="24" t="s">
        <v>29</v>
      </c>
      <c r="B11" s="25" t="s">
        <v>15</v>
      </c>
      <c r="C11" s="26" t="s">
        <v>22</v>
      </c>
      <c r="D11" s="27"/>
      <c r="E11" s="25" t="s">
        <v>17</v>
      </c>
      <c r="F11" s="28">
        <v>100.0</v>
      </c>
      <c r="G11" s="28">
        <v>12.0</v>
      </c>
      <c r="H11" s="29">
        <f t="shared" ref="H11:H16" si="5">F11/(1.0278-(0.0278*G11))</f>
        <v>144.0507058</v>
      </c>
      <c r="I11" s="28">
        <v>115.0</v>
      </c>
      <c r="J11" s="28">
        <v>10.0</v>
      </c>
      <c r="K11" s="29">
        <f t="shared" ref="K11:K16" si="6">I11/(1.0278-(0.0278*J11))</f>
        <v>153.3742331</v>
      </c>
      <c r="L11" s="28">
        <v>115.0</v>
      </c>
      <c r="M11" s="28">
        <v>9.0</v>
      </c>
      <c r="N11" s="29">
        <f t="shared" ref="N11:N16" si="7">L11/(1.0278-(0.0278*M11))</f>
        <v>147.8909465</v>
      </c>
      <c r="O11" s="34">
        <f t="shared" ref="O11:O16" si="8">+F11*G11+I11*J11+L11*M11</f>
        <v>3385</v>
      </c>
      <c r="P11" s="35"/>
      <c r="Q11" s="36"/>
      <c r="R11" s="42" t="str">
        <f>IF(OR(ISBLANK(O11), ISBLANK('WEEK 1'!O11)), "", (O11 - 'WEEK 1'!O11) &amp; " " &amp; IF(O11 - 'WEEK 1'!O11 &gt; 0, "INCREASE", IF(O11 - 'WEEK 1'!O11 &lt; 0, "DECREASE", "NO CHANGE")))</f>
        <v>-1235 DECREASE</v>
      </c>
    </row>
    <row r="12" ht="15.75" customHeight="1">
      <c r="A12" s="24" t="s">
        <v>30</v>
      </c>
      <c r="B12" s="25" t="s">
        <v>15</v>
      </c>
      <c r="C12" s="26" t="s">
        <v>16</v>
      </c>
      <c r="D12" s="27"/>
      <c r="E12" s="25" t="s">
        <v>17</v>
      </c>
      <c r="F12" s="38"/>
      <c r="G12" s="38"/>
      <c r="H12" s="29">
        <f t="shared" si="5"/>
        <v>0</v>
      </c>
      <c r="I12" s="38"/>
      <c r="J12" s="38"/>
      <c r="K12" s="29">
        <f t="shared" si="6"/>
        <v>0</v>
      </c>
      <c r="L12" s="38"/>
      <c r="M12" s="38"/>
      <c r="N12" s="29">
        <f t="shared" si="7"/>
        <v>0</v>
      </c>
      <c r="O12" s="30">
        <f t="shared" si="8"/>
        <v>0</v>
      </c>
      <c r="P12" s="31"/>
      <c r="Q12" s="32"/>
      <c r="R12" s="43" t="str">
        <f>IF(OR(ISBLANK(O12), ISBLANK('WEEK 1'!O12)), "", (O12 - 'WEEK 1'!O12) &amp; " " &amp; IF(O12 - 'WEEK 1'!O12 &gt; 0, "INCREASE", IF(O12 - 'WEEK 1'!O12 &lt; 0, "DECREASE", "NO CHANGE")))</f>
        <v>0 NO CHANGE</v>
      </c>
    </row>
    <row r="13" ht="15.75" customHeight="1">
      <c r="A13" s="24" t="s">
        <v>31</v>
      </c>
      <c r="B13" s="25" t="s">
        <v>15</v>
      </c>
      <c r="C13" s="26" t="s">
        <v>22</v>
      </c>
      <c r="D13" s="27"/>
      <c r="E13" s="25" t="s">
        <v>17</v>
      </c>
      <c r="F13" s="38"/>
      <c r="G13" s="38"/>
      <c r="H13" s="29">
        <f t="shared" si="5"/>
        <v>0</v>
      </c>
      <c r="I13" s="38"/>
      <c r="J13" s="38"/>
      <c r="K13" s="29">
        <f t="shared" si="6"/>
        <v>0</v>
      </c>
      <c r="L13" s="38"/>
      <c r="M13" s="38"/>
      <c r="N13" s="29">
        <f t="shared" si="7"/>
        <v>0</v>
      </c>
      <c r="O13" s="34">
        <f t="shared" si="8"/>
        <v>0</v>
      </c>
      <c r="P13" s="35"/>
      <c r="Q13" s="36"/>
      <c r="R13" s="42" t="str">
        <f>IF(OR(ISBLANK(O13), ISBLANK('WEEK 1'!O13)), "", (O13 - 'WEEK 1'!O13) &amp; " " &amp; IF(O13 - 'WEEK 1'!O13 &gt; 0, "INCREASE", IF(O13 - 'WEEK 1'!O13 &lt; 0, "DECREASE", "NO CHANGE")))</f>
        <v>-3080 DECREASE</v>
      </c>
    </row>
    <row r="14" ht="15.75" customHeight="1">
      <c r="A14" s="24" t="s">
        <v>32</v>
      </c>
      <c r="B14" s="44" t="s">
        <v>15</v>
      </c>
      <c r="C14" s="26" t="s">
        <v>22</v>
      </c>
      <c r="D14" s="45"/>
      <c r="E14" s="25" t="s">
        <v>17</v>
      </c>
      <c r="F14" s="28">
        <v>140.0</v>
      </c>
      <c r="G14" s="28">
        <v>7.0</v>
      </c>
      <c r="H14" s="29">
        <f t="shared" si="5"/>
        <v>168.0268843</v>
      </c>
      <c r="I14" s="28">
        <v>140.0</v>
      </c>
      <c r="J14" s="28">
        <v>8.0</v>
      </c>
      <c r="K14" s="29">
        <f t="shared" si="6"/>
        <v>173.82667</v>
      </c>
      <c r="L14" s="28">
        <v>140.0</v>
      </c>
      <c r="M14" s="28">
        <v>8.0</v>
      </c>
      <c r="N14" s="29">
        <f t="shared" si="7"/>
        <v>173.82667</v>
      </c>
      <c r="O14" s="30">
        <f t="shared" si="8"/>
        <v>3220</v>
      </c>
      <c r="P14" s="31"/>
      <c r="Q14" s="32"/>
      <c r="R14" s="43" t="str">
        <f>IF(OR(ISBLANK(O14), ISBLANK('WEEK 1'!O14)), "", (O14 - 'WEEK 1'!O14) &amp; " " &amp; IF(O14 - 'WEEK 1'!O14 &gt; 0, "INCREASE", IF(O14 - 'WEEK 1'!O14 &lt; 0, "DECREASE", "NO CHANGE")))</f>
        <v>160 INCREASE</v>
      </c>
    </row>
    <row r="15" ht="15.75" customHeight="1">
      <c r="A15" s="24" t="s">
        <v>33</v>
      </c>
      <c r="B15" s="25" t="s">
        <v>15</v>
      </c>
      <c r="C15" s="26" t="s">
        <v>22</v>
      </c>
      <c r="D15" s="45"/>
      <c r="E15" s="25" t="s">
        <v>17</v>
      </c>
      <c r="F15" s="28">
        <v>90.0</v>
      </c>
      <c r="G15" s="28">
        <v>13.0</v>
      </c>
      <c r="H15" s="29">
        <f t="shared" si="5"/>
        <v>135.0540216</v>
      </c>
      <c r="I15" s="28">
        <v>90.0</v>
      </c>
      <c r="J15" s="28">
        <v>14.0</v>
      </c>
      <c r="K15" s="29">
        <f t="shared" si="6"/>
        <v>140.9332916</v>
      </c>
      <c r="L15" s="28">
        <v>100.0</v>
      </c>
      <c r="M15" s="28">
        <v>12.0</v>
      </c>
      <c r="N15" s="29">
        <f t="shared" si="7"/>
        <v>144.0507058</v>
      </c>
      <c r="O15" s="34">
        <f t="shared" si="8"/>
        <v>3630</v>
      </c>
      <c r="P15" s="35"/>
      <c r="Q15" s="36"/>
      <c r="R15" s="42" t="str">
        <f>IF(OR(ISBLANK(O15), ISBLANK('WEEK 1'!O15)), "", (O15 - 'WEEK 1'!O15) &amp; " " &amp; IF(O15 - 'WEEK 1'!O15 &gt; 0, "INCREASE", IF(O15 - 'WEEK 1'!O15 &lt; 0, "DECREASE", "NO CHANGE")))</f>
        <v>-50 DECREASE</v>
      </c>
    </row>
    <row r="16" ht="15.75" customHeight="1">
      <c r="A16" s="24" t="s">
        <v>34</v>
      </c>
      <c r="B16" s="25" t="s">
        <v>15</v>
      </c>
      <c r="C16" s="26" t="s">
        <v>16</v>
      </c>
      <c r="D16" s="45"/>
      <c r="E16" s="46">
        <v>60.0</v>
      </c>
      <c r="F16" s="28">
        <v>57.5</v>
      </c>
      <c r="G16" s="28">
        <v>12.0</v>
      </c>
      <c r="H16" s="29">
        <f t="shared" si="5"/>
        <v>82.82915586</v>
      </c>
      <c r="I16" s="28">
        <v>72.5</v>
      </c>
      <c r="J16" s="28">
        <v>10.0</v>
      </c>
      <c r="K16" s="29">
        <f t="shared" si="6"/>
        <v>96.69245132</v>
      </c>
      <c r="L16" s="28">
        <v>80.0</v>
      </c>
      <c r="M16" s="28">
        <v>9.0</v>
      </c>
      <c r="N16" s="29">
        <f t="shared" si="7"/>
        <v>102.8806584</v>
      </c>
      <c r="O16" s="30">
        <f t="shared" si="8"/>
        <v>2135</v>
      </c>
      <c r="P16" s="31"/>
      <c r="Q16" s="32"/>
      <c r="R16" s="43" t="str">
        <f>IF(OR(ISBLANK(O16), ISBLANK('WEEK 1'!O16)), "", (O16 - 'WEEK 1'!O16) &amp; " " &amp; IF(O16 - 'WEEK 1'!O16 &gt; 0, "INCREASE", IF(O16 - 'WEEK 1'!O16 &lt; 0, "DECREASE", "NO CHANGE")))</f>
        <v>2135 INCREASE</v>
      </c>
    </row>
    <row r="17" ht="16.5" customHeight="1">
      <c r="A17" s="15" t="s">
        <v>35</v>
      </c>
      <c r="B17" s="16" t="s">
        <v>6</v>
      </c>
      <c r="C17" s="16" t="s">
        <v>7</v>
      </c>
      <c r="D17" s="16" t="s">
        <v>8</v>
      </c>
      <c r="E17" s="16" t="s">
        <v>28</v>
      </c>
      <c r="F17" s="18" t="s">
        <v>10</v>
      </c>
      <c r="G17" s="18" t="s">
        <v>11</v>
      </c>
      <c r="H17" s="19" t="s">
        <v>12</v>
      </c>
      <c r="I17" s="18" t="s">
        <v>10</v>
      </c>
      <c r="J17" s="18" t="s">
        <v>11</v>
      </c>
      <c r="K17" s="19" t="s">
        <v>12</v>
      </c>
      <c r="L17" s="18" t="s">
        <v>10</v>
      </c>
      <c r="M17" s="18" t="s">
        <v>11</v>
      </c>
      <c r="N17" s="19" t="s">
        <v>12</v>
      </c>
      <c r="O17" s="47" t="s">
        <v>13</v>
      </c>
      <c r="P17" s="48"/>
      <c r="Q17" s="49"/>
      <c r="R17" s="37"/>
    </row>
    <row r="18" ht="16.5" customHeight="1">
      <c r="A18" s="50" t="s">
        <v>36</v>
      </c>
      <c r="B18" s="27"/>
      <c r="C18" s="27"/>
      <c r="D18" s="27"/>
      <c r="E18" s="27"/>
      <c r="F18" s="38"/>
      <c r="G18" s="38"/>
      <c r="H18" s="29">
        <f>F18/(1.0278-(0.0278*G18))</f>
        <v>0</v>
      </c>
      <c r="I18" s="38"/>
      <c r="J18" s="38"/>
      <c r="K18" s="29">
        <f>I18/(1.0278-(0.0278*J18))</f>
        <v>0</v>
      </c>
      <c r="L18" s="38"/>
      <c r="M18" s="38"/>
      <c r="N18" s="29">
        <f>L18/(1.0278-(0.0278*M18))</f>
        <v>0</v>
      </c>
      <c r="O18" s="51" t="str">
        <f>+F18*G18+I18*J18+L18*M18+#REF!*#REF!+#REF!*#REF!</f>
        <v>#REF!</v>
      </c>
      <c r="P18" s="52"/>
      <c r="Q18" s="53"/>
      <c r="R18" s="33"/>
    </row>
    <row r="19" ht="16.5" customHeight="1">
      <c r="A19" s="15" t="s">
        <v>37</v>
      </c>
      <c r="B19" s="16" t="s">
        <v>6</v>
      </c>
      <c r="C19" s="16" t="s">
        <v>7</v>
      </c>
      <c r="D19" s="16" t="s">
        <v>8</v>
      </c>
      <c r="E19" s="16" t="s">
        <v>28</v>
      </c>
      <c r="F19" s="18" t="s">
        <v>10</v>
      </c>
      <c r="G19" s="18" t="s">
        <v>11</v>
      </c>
      <c r="H19" s="19" t="s">
        <v>12</v>
      </c>
      <c r="I19" s="18" t="s">
        <v>10</v>
      </c>
      <c r="J19" s="18" t="s">
        <v>11</v>
      </c>
      <c r="K19" s="19" t="s">
        <v>12</v>
      </c>
      <c r="L19" s="18" t="s">
        <v>10</v>
      </c>
      <c r="M19" s="18" t="s">
        <v>11</v>
      </c>
      <c r="N19" s="19" t="s">
        <v>12</v>
      </c>
      <c r="O19" s="54" t="s">
        <v>13</v>
      </c>
      <c r="P19" s="55"/>
      <c r="Q19" s="56"/>
      <c r="R19" s="37"/>
    </row>
    <row r="20" ht="16.5" customHeight="1">
      <c r="A20" s="24" t="s">
        <v>38</v>
      </c>
      <c r="B20" s="25" t="s">
        <v>15</v>
      </c>
      <c r="C20" s="25" t="s">
        <v>39</v>
      </c>
      <c r="D20" s="27"/>
      <c r="E20" s="25" t="s">
        <v>17</v>
      </c>
      <c r="F20" s="28">
        <v>100.0</v>
      </c>
      <c r="G20" s="28">
        <v>13.0</v>
      </c>
      <c r="H20" s="29">
        <f t="shared" ref="H20:H24" si="9">F20/(1.0278-(0.0278*G20))</f>
        <v>150.060024</v>
      </c>
      <c r="I20" s="28">
        <v>115.0</v>
      </c>
      <c r="J20" s="28">
        <v>9.0</v>
      </c>
      <c r="K20" s="29">
        <f t="shared" ref="K20:K24" si="10">I20/(1.0278-(0.0278*J20))</f>
        <v>147.8909465</v>
      </c>
      <c r="L20" s="28">
        <v>130.0</v>
      </c>
      <c r="M20" s="28">
        <v>7.0</v>
      </c>
      <c r="N20" s="29">
        <f t="shared" ref="N20:N24" si="11">L20/(1.0278-(0.0278*M20))</f>
        <v>156.024964</v>
      </c>
      <c r="O20" s="30">
        <f t="shared" ref="O20:O24" si="12">+F20*G20+I20*J20+L20*M20</f>
        <v>3245</v>
      </c>
      <c r="P20" s="31"/>
      <c r="Q20" s="32"/>
      <c r="R20" s="43" t="str">
        <f>IF(OR(ISBLANK(O20), ISBLANK('WEEK 1'!O20)), "", (O20 - 'WEEK 1'!O20) &amp; " " &amp; IF(O20 - 'WEEK 1'!O20 &gt; 0, "INCREASE", IF(O20 - 'WEEK 1'!O20 &lt; 0, "DECREASE", "NO CHANGE")))</f>
        <v>-515 DECREASE</v>
      </c>
    </row>
    <row r="21" ht="15.75" customHeight="1">
      <c r="A21" s="24" t="s">
        <v>40</v>
      </c>
      <c r="B21" s="25" t="s">
        <v>15</v>
      </c>
      <c r="C21" s="25" t="s">
        <v>39</v>
      </c>
      <c r="D21" s="27"/>
      <c r="E21" s="25" t="s">
        <v>17</v>
      </c>
      <c r="F21" s="38"/>
      <c r="G21" s="38"/>
      <c r="H21" s="29">
        <f t="shared" si="9"/>
        <v>0</v>
      </c>
      <c r="I21" s="38"/>
      <c r="J21" s="38"/>
      <c r="K21" s="29">
        <f t="shared" si="10"/>
        <v>0</v>
      </c>
      <c r="L21" s="38"/>
      <c r="M21" s="38"/>
      <c r="N21" s="29">
        <f t="shared" si="11"/>
        <v>0</v>
      </c>
      <c r="O21" s="34">
        <f t="shared" si="12"/>
        <v>0</v>
      </c>
      <c r="P21" s="35"/>
      <c r="Q21" s="36"/>
      <c r="R21" s="42" t="str">
        <f>IF(OR(ISBLANK(O21), ISBLANK('WEEK 1'!O21)), "", (O21 - 'WEEK 1'!O21) &amp; " " &amp; IF(O21 - 'WEEK 1'!O21 &gt; 0, "INCREASE", IF(O21 - 'WEEK 1'!O21 &lt; 0, "DECREASE", "NO CHANGE")))</f>
        <v>-720 DECREASE</v>
      </c>
    </row>
    <row r="22" ht="15.75" customHeight="1">
      <c r="A22" s="24" t="s">
        <v>41</v>
      </c>
      <c r="B22" s="44" t="s">
        <v>15</v>
      </c>
      <c r="C22" s="25" t="s">
        <v>39</v>
      </c>
      <c r="D22" s="27"/>
      <c r="E22" s="25" t="s">
        <v>17</v>
      </c>
      <c r="F22" s="28">
        <v>25.0</v>
      </c>
      <c r="G22" s="28">
        <v>8.0</v>
      </c>
      <c r="H22" s="29">
        <f t="shared" si="9"/>
        <v>31.04047678</v>
      </c>
      <c r="I22" s="28">
        <v>25.0</v>
      </c>
      <c r="J22" s="28">
        <v>10.0</v>
      </c>
      <c r="K22" s="29">
        <f t="shared" si="10"/>
        <v>33.34222459</v>
      </c>
      <c r="L22" s="28">
        <v>25.0</v>
      </c>
      <c r="M22" s="28">
        <v>10.0</v>
      </c>
      <c r="N22" s="29">
        <f t="shared" si="11"/>
        <v>33.34222459</v>
      </c>
      <c r="O22" s="30">
        <f t="shared" si="12"/>
        <v>700</v>
      </c>
      <c r="P22" s="31"/>
      <c r="Q22" s="32"/>
      <c r="R22" s="43" t="str">
        <f>IF(OR(ISBLANK(O22), ISBLANK('WEEK 1'!O22)), "", (O22 - 'WEEK 1'!O22) &amp; " " &amp; IF(O22 - 'WEEK 1'!O22 &gt; 0, "INCREASE", IF(O22 - 'WEEK 1'!O22 &lt; 0, "DECREASE", "NO CHANGE")))</f>
        <v>-200 DECREASE</v>
      </c>
    </row>
    <row r="23" ht="16.5" customHeight="1">
      <c r="A23" s="24" t="s">
        <v>21</v>
      </c>
      <c r="B23" s="44" t="s">
        <v>15</v>
      </c>
      <c r="C23" s="25" t="s">
        <v>39</v>
      </c>
      <c r="D23" s="27"/>
      <c r="E23" s="25" t="s">
        <v>17</v>
      </c>
      <c r="F23" s="28">
        <v>55.0</v>
      </c>
      <c r="G23" s="28">
        <v>6.0</v>
      </c>
      <c r="H23" s="29">
        <f t="shared" si="9"/>
        <v>63.87921022</v>
      </c>
      <c r="I23" s="28">
        <v>55.0</v>
      </c>
      <c r="J23" s="28">
        <v>5.0</v>
      </c>
      <c r="K23" s="29">
        <f t="shared" si="10"/>
        <v>61.88118812</v>
      </c>
      <c r="L23" s="28">
        <v>55.0</v>
      </c>
      <c r="M23" s="28">
        <v>7.0</v>
      </c>
      <c r="N23" s="29">
        <f t="shared" si="11"/>
        <v>66.01056169</v>
      </c>
      <c r="O23" s="34">
        <f t="shared" si="12"/>
        <v>990</v>
      </c>
      <c r="P23" s="35"/>
      <c r="Q23" s="36"/>
      <c r="R23" s="42" t="str">
        <f>IF(OR(ISBLANK(O23), ISBLANK('WEEK 1'!O23)), "", (O23 - 'WEEK 1'!O23) &amp; " " &amp; IF(O23 - 'WEEK 1'!O23 &gt; 0, "INCREASE", IF(O23 - 'WEEK 1'!O23 &lt; 0, "DECREASE", "NO CHANGE")))</f>
        <v>-90 DECREASE</v>
      </c>
    </row>
    <row r="24" ht="15.75" customHeight="1">
      <c r="A24" s="24" t="s">
        <v>31</v>
      </c>
      <c r="B24" s="25" t="s">
        <v>15</v>
      </c>
      <c r="C24" s="25" t="s">
        <v>39</v>
      </c>
      <c r="D24" s="27"/>
      <c r="E24" s="25" t="s">
        <v>17</v>
      </c>
      <c r="F24" s="28">
        <v>95.0</v>
      </c>
      <c r="G24" s="28">
        <v>12.0</v>
      </c>
      <c r="H24" s="29">
        <f t="shared" si="9"/>
        <v>136.8481706</v>
      </c>
      <c r="I24" s="28">
        <v>95.0</v>
      </c>
      <c r="J24" s="28">
        <v>12.0</v>
      </c>
      <c r="K24" s="29">
        <f t="shared" si="10"/>
        <v>136.8481706</v>
      </c>
      <c r="L24" s="28">
        <v>110.0</v>
      </c>
      <c r="M24" s="28">
        <v>10.0</v>
      </c>
      <c r="N24" s="29">
        <f t="shared" si="11"/>
        <v>146.7057882</v>
      </c>
      <c r="O24" s="30">
        <f t="shared" si="12"/>
        <v>3380</v>
      </c>
      <c r="P24" s="31"/>
      <c r="Q24" s="32"/>
      <c r="R24" s="43" t="str">
        <f>IF(OR(ISBLANK(O24), ISBLANK('WEEK 1'!O24)), "", (O24 - 'WEEK 1'!O24) &amp; " " &amp; IF(O24 - 'WEEK 1'!O24 &gt; 0, "INCREASE", IF(O24 - 'WEEK 1'!O24 &lt; 0, "DECREASE", "NO CHANGE")))</f>
        <v>-95 DECREASE</v>
      </c>
    </row>
    <row r="25" ht="15.0" customHeight="1">
      <c r="A25" s="15" t="s">
        <v>42</v>
      </c>
      <c r="B25" s="16" t="s">
        <v>6</v>
      </c>
      <c r="C25" s="16" t="s">
        <v>7</v>
      </c>
      <c r="D25" s="16" t="s">
        <v>8</v>
      </c>
      <c r="E25" s="16" t="s">
        <v>28</v>
      </c>
      <c r="F25" s="18" t="s">
        <v>10</v>
      </c>
      <c r="G25" s="18" t="s">
        <v>11</v>
      </c>
      <c r="H25" s="19" t="s">
        <v>12</v>
      </c>
      <c r="I25" s="18" t="s">
        <v>10</v>
      </c>
      <c r="J25" s="18" t="s">
        <v>11</v>
      </c>
      <c r="K25" s="19" t="s">
        <v>12</v>
      </c>
      <c r="L25" s="18" t="s">
        <v>10</v>
      </c>
      <c r="M25" s="18" t="s">
        <v>11</v>
      </c>
      <c r="N25" s="19" t="s">
        <v>12</v>
      </c>
      <c r="O25" s="47" t="s">
        <v>13</v>
      </c>
      <c r="P25" s="48"/>
      <c r="Q25" s="49"/>
      <c r="R25" s="37"/>
    </row>
    <row r="26" ht="15.0" customHeight="1">
      <c r="A26" s="24" t="s">
        <v>43</v>
      </c>
      <c r="B26" s="25" t="s">
        <v>15</v>
      </c>
      <c r="C26" s="26" t="s">
        <v>22</v>
      </c>
      <c r="D26" s="27"/>
      <c r="E26" s="25" t="s">
        <v>17</v>
      </c>
      <c r="F26" s="28">
        <v>20.0</v>
      </c>
      <c r="G26" s="28">
        <v>8.0</v>
      </c>
      <c r="H26" s="29">
        <f t="shared" ref="H26:H31" si="13">F26/(1.0278-(0.0278*G26))</f>
        <v>24.83238143</v>
      </c>
      <c r="I26" s="28">
        <v>40.0</v>
      </c>
      <c r="J26" s="28">
        <v>8.0</v>
      </c>
      <c r="K26" s="29">
        <f t="shared" ref="K26:K31" si="14">I26/(1.0278-(0.0278*J26))</f>
        <v>49.66476285</v>
      </c>
      <c r="L26" s="28">
        <v>50.0</v>
      </c>
      <c r="M26" s="28">
        <v>8.0</v>
      </c>
      <c r="N26" s="29">
        <f t="shared" ref="N26:N31" si="15">L26/(1.0278-(0.0278*M26))</f>
        <v>62.08095356</v>
      </c>
      <c r="O26" s="30">
        <f t="shared" ref="O26:O31" si="16">+F26*G26+I26*J26+L26*M26</f>
        <v>880</v>
      </c>
      <c r="P26" s="31"/>
      <c r="Q26" s="32"/>
      <c r="R26" s="43" t="str">
        <f>IF(OR(ISBLANK(O26), ISBLANK('WEEK 1'!O26)), "", (O26 - 'WEEK 1'!O26) &amp; " " &amp; IF(O26 - 'WEEK 1'!O26 &gt; 0, "INCREASE", IF(O26 - 'WEEK 1'!O26 &lt; 0, "DECREASE", "NO CHANGE")))</f>
        <v>-600 DECREASE</v>
      </c>
    </row>
    <row r="27" ht="15.0" customHeight="1">
      <c r="A27" s="24" t="s">
        <v>44</v>
      </c>
      <c r="B27" s="25" t="s">
        <v>15</v>
      </c>
      <c r="C27" s="26" t="s">
        <v>19</v>
      </c>
      <c r="D27" s="27"/>
      <c r="E27" s="25" t="s">
        <v>17</v>
      </c>
      <c r="F27" s="38"/>
      <c r="G27" s="38"/>
      <c r="H27" s="29">
        <f t="shared" si="13"/>
        <v>0</v>
      </c>
      <c r="I27" s="38"/>
      <c r="J27" s="38"/>
      <c r="K27" s="29">
        <f t="shared" si="14"/>
        <v>0</v>
      </c>
      <c r="L27" s="38"/>
      <c r="M27" s="38"/>
      <c r="N27" s="29">
        <f t="shared" si="15"/>
        <v>0</v>
      </c>
      <c r="O27" s="34">
        <f t="shared" si="16"/>
        <v>0</v>
      </c>
      <c r="P27" s="35"/>
      <c r="Q27" s="36"/>
      <c r="R27" s="42"/>
    </row>
    <row r="28" ht="15.0" customHeight="1">
      <c r="A28" s="24" t="s">
        <v>45</v>
      </c>
      <c r="B28" s="25" t="s">
        <v>15</v>
      </c>
      <c r="C28" s="26" t="s">
        <v>46</v>
      </c>
      <c r="D28" s="27"/>
      <c r="E28" s="25" t="s">
        <v>17</v>
      </c>
      <c r="F28" s="38"/>
      <c r="G28" s="38"/>
      <c r="H28" s="29">
        <f t="shared" si="13"/>
        <v>0</v>
      </c>
      <c r="I28" s="38"/>
      <c r="J28" s="38"/>
      <c r="K28" s="29">
        <f t="shared" si="14"/>
        <v>0</v>
      </c>
      <c r="L28" s="38"/>
      <c r="M28" s="38"/>
      <c r="N28" s="29">
        <f t="shared" si="15"/>
        <v>0</v>
      </c>
      <c r="O28" s="30">
        <f t="shared" si="16"/>
        <v>0</v>
      </c>
      <c r="P28" s="31"/>
      <c r="Q28" s="32"/>
      <c r="R28" s="43" t="str">
        <f>IF(OR(ISBLANK(O28), ISBLANK('WEEK 1'!O28)), "", (O28 - 'WEEK 1'!O28) &amp; " " &amp; IF(O28 - 'WEEK 1'!O28 &gt; 0, "INCREASE", IF(O28 - 'WEEK 1'!O28 &lt; 0, "DECREASE", "NO CHANGE")))</f>
        <v>-900 DECREASE</v>
      </c>
    </row>
    <row r="29" ht="15.0" customHeight="1">
      <c r="A29" s="24" t="s">
        <v>47</v>
      </c>
      <c r="B29" s="25" t="s">
        <v>15</v>
      </c>
      <c r="C29" s="26" t="s">
        <v>19</v>
      </c>
      <c r="D29" s="27"/>
      <c r="E29" s="25" t="s">
        <v>17</v>
      </c>
      <c r="F29" s="28">
        <v>120.0</v>
      </c>
      <c r="G29" s="28">
        <v>10.0</v>
      </c>
      <c r="H29" s="29">
        <f t="shared" si="13"/>
        <v>160.042678</v>
      </c>
      <c r="I29" s="28">
        <v>130.0</v>
      </c>
      <c r="J29" s="28">
        <v>11.0</v>
      </c>
      <c r="K29" s="29">
        <f t="shared" si="14"/>
        <v>180.0554017</v>
      </c>
      <c r="L29" s="28">
        <v>130.0</v>
      </c>
      <c r="M29" s="28">
        <v>12.0</v>
      </c>
      <c r="N29" s="29">
        <f t="shared" si="15"/>
        <v>187.2659176</v>
      </c>
      <c r="O29" s="34">
        <f t="shared" si="16"/>
        <v>4190</v>
      </c>
      <c r="P29" s="35"/>
      <c r="Q29" s="36"/>
      <c r="R29" s="42" t="str">
        <f>IF(OR(ISBLANK(O29), ISBLANK('WEEK 1'!O29)), "", (O29 - 'WEEK 1'!O29) &amp; " " &amp; IF(O29 - 'WEEK 1'!O29 &gt; 0, "INCREASE", IF(O29 - 'WEEK 1'!O29 &lt; 0, "DECREASE", "NO CHANGE")))</f>
        <v>-425 DECREASE</v>
      </c>
    </row>
    <row r="30" ht="15.0" customHeight="1">
      <c r="A30" s="24" t="s">
        <v>48</v>
      </c>
      <c r="B30" s="25" t="s">
        <v>15</v>
      </c>
      <c r="C30" s="26" t="s">
        <v>19</v>
      </c>
      <c r="D30" s="27"/>
      <c r="E30" s="25" t="s">
        <v>17</v>
      </c>
      <c r="F30" s="28">
        <v>235.0</v>
      </c>
      <c r="G30" s="28">
        <v>11.0</v>
      </c>
      <c r="H30" s="29">
        <f t="shared" si="13"/>
        <v>325.4847645</v>
      </c>
      <c r="I30" s="28">
        <v>235.0</v>
      </c>
      <c r="J30" s="28">
        <v>11.0</v>
      </c>
      <c r="K30" s="29">
        <f t="shared" si="14"/>
        <v>325.4847645</v>
      </c>
      <c r="L30" s="28">
        <v>220.0</v>
      </c>
      <c r="M30" s="28">
        <v>10.0</v>
      </c>
      <c r="N30" s="29">
        <f t="shared" si="15"/>
        <v>293.4115764</v>
      </c>
      <c r="O30" s="30">
        <f t="shared" si="16"/>
        <v>7370</v>
      </c>
      <c r="P30" s="31"/>
      <c r="Q30" s="32"/>
      <c r="R30" s="43" t="str">
        <f>IF(OR(ISBLANK(O30), ISBLANK('WEEK 1'!O30)), "", (O30 - 'WEEK 1'!O30) &amp; " " &amp; IF(O30 - 'WEEK 1'!O30 &gt; 0, "INCREASE", IF(O30 - 'WEEK 1'!O30 &lt; 0, "DECREASE", "NO CHANGE")))</f>
        <v>30 INCREASE</v>
      </c>
    </row>
    <row r="31" ht="15.0" customHeight="1">
      <c r="A31" s="24" t="s">
        <v>49</v>
      </c>
      <c r="B31" s="25" t="s">
        <v>15</v>
      </c>
      <c r="C31" s="26" t="s">
        <v>19</v>
      </c>
      <c r="D31" s="27"/>
      <c r="E31" s="25" t="s">
        <v>17</v>
      </c>
      <c r="F31" s="38"/>
      <c r="G31" s="38"/>
      <c r="H31" s="29">
        <f t="shared" si="13"/>
        <v>0</v>
      </c>
      <c r="I31" s="38"/>
      <c r="J31" s="38"/>
      <c r="K31" s="29">
        <f t="shared" si="14"/>
        <v>0</v>
      </c>
      <c r="L31" s="38"/>
      <c r="M31" s="38"/>
      <c r="N31" s="29">
        <f t="shared" si="15"/>
        <v>0</v>
      </c>
      <c r="O31" s="34">
        <f t="shared" si="16"/>
        <v>0</v>
      </c>
      <c r="P31" s="35"/>
      <c r="Q31" s="36"/>
      <c r="R31" s="42"/>
    </row>
  </sheetData>
  <mergeCells count="35">
    <mergeCell ref="A1:E2"/>
    <mergeCell ref="F1:R1"/>
    <mergeCell ref="F2:H2"/>
    <mergeCell ref="I2:K2"/>
    <mergeCell ref="L2:N2"/>
    <mergeCell ref="O2:Q2"/>
    <mergeCell ref="O3:Q3"/>
    <mergeCell ref="O4:Q4"/>
    <mergeCell ref="O5:Q5"/>
    <mergeCell ref="O6:Q6"/>
    <mergeCell ref="O7:Q7"/>
    <mergeCell ref="O8:Q8"/>
    <mergeCell ref="O9:Q9"/>
    <mergeCell ref="O10:Q10"/>
    <mergeCell ref="O11:Q11"/>
    <mergeCell ref="O12:Q12"/>
    <mergeCell ref="O13:Q13"/>
    <mergeCell ref="O14:Q14"/>
    <mergeCell ref="O15:Q15"/>
    <mergeCell ref="O16:Q16"/>
    <mergeCell ref="O17:Q17"/>
    <mergeCell ref="O25:Q25"/>
    <mergeCell ref="O26:Q26"/>
    <mergeCell ref="O27:Q27"/>
    <mergeCell ref="O28:Q28"/>
    <mergeCell ref="O29:Q29"/>
    <mergeCell ref="O30:Q30"/>
    <mergeCell ref="O31:Q31"/>
    <mergeCell ref="O18:Q18"/>
    <mergeCell ref="O19:Q19"/>
    <mergeCell ref="O20:Q20"/>
    <mergeCell ref="O21:Q21"/>
    <mergeCell ref="O22:Q22"/>
    <mergeCell ref="O23:Q23"/>
    <mergeCell ref="O24:Q24"/>
  </mergeCells>
  <printOptions/>
  <pageMargins bottom="0.75" footer="0.0" header="0.0" left="0.7" right="0.7" top="0.75"/>
  <pageSetup orientation="portrait"/>
  <headerFooter>
    <oddFooter>&amp;C000000&amp;P</oddFooter>
  </headerFooter>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3.25"/>
    <col customWidth="1" min="2" max="2" width="13.13"/>
    <col customWidth="1" min="3" max="3" width="15.38"/>
    <col customWidth="1" min="4" max="4" width="12.13"/>
    <col customWidth="1" min="5" max="5" width="14.38"/>
    <col customWidth="1" min="6" max="6" width="10.75"/>
    <col customWidth="1" min="7" max="7" width="8.38"/>
    <col customWidth="1" min="8" max="8" width="7.13"/>
    <col customWidth="1" min="9" max="10" width="10.88"/>
    <col customWidth="1" min="11" max="11" width="7.75"/>
    <col customWidth="1" min="12" max="13" width="10.88"/>
    <col customWidth="1" min="14" max="14" width="6.63"/>
    <col customWidth="1" min="15" max="16" width="10.88"/>
    <col customWidth="1" min="17" max="17" width="13.25"/>
    <col customWidth="1" min="18" max="18" width="33.25"/>
  </cols>
  <sheetData>
    <row r="1" ht="15.0" customHeight="1">
      <c r="A1" s="1"/>
      <c r="B1" s="2"/>
      <c r="C1" s="2"/>
      <c r="D1" s="2"/>
      <c r="E1" s="3"/>
      <c r="F1" s="4" t="s">
        <v>0</v>
      </c>
      <c r="G1" s="5"/>
      <c r="H1" s="5"/>
      <c r="I1" s="5"/>
      <c r="J1" s="5"/>
      <c r="K1" s="5"/>
      <c r="L1" s="5"/>
      <c r="M1" s="5"/>
      <c r="N1" s="5"/>
      <c r="O1" s="5"/>
      <c r="P1" s="5"/>
      <c r="Q1" s="5"/>
      <c r="R1" s="6"/>
    </row>
    <row r="2" ht="16.5" customHeight="1">
      <c r="A2" s="7"/>
      <c r="B2" s="8"/>
      <c r="C2" s="8"/>
      <c r="D2" s="8"/>
      <c r="E2" s="9"/>
      <c r="F2" s="10" t="s">
        <v>1</v>
      </c>
      <c r="G2" s="5"/>
      <c r="H2" s="6"/>
      <c r="I2" s="10" t="s">
        <v>2</v>
      </c>
      <c r="J2" s="5"/>
      <c r="K2" s="6"/>
      <c r="L2" s="10" t="s">
        <v>3</v>
      </c>
      <c r="M2" s="5"/>
      <c r="N2" s="6"/>
      <c r="O2" s="11" t="s">
        <v>4</v>
      </c>
      <c r="P2" s="12"/>
      <c r="Q2" s="13"/>
      <c r="R2" s="57"/>
    </row>
    <row r="3" ht="16.5" customHeight="1">
      <c r="A3" s="15" t="s">
        <v>5</v>
      </c>
      <c r="B3" s="16" t="s">
        <v>6</v>
      </c>
      <c r="C3" s="16" t="s">
        <v>7</v>
      </c>
      <c r="D3" s="16" t="s">
        <v>8</v>
      </c>
      <c r="E3" s="16" t="s">
        <v>28</v>
      </c>
      <c r="F3" s="18" t="s">
        <v>10</v>
      </c>
      <c r="G3" s="18" t="s">
        <v>11</v>
      </c>
      <c r="H3" s="19" t="s">
        <v>12</v>
      </c>
      <c r="I3" s="18" t="s">
        <v>10</v>
      </c>
      <c r="J3" s="18" t="s">
        <v>11</v>
      </c>
      <c r="K3" s="19" t="s">
        <v>12</v>
      </c>
      <c r="L3" s="18" t="s">
        <v>10</v>
      </c>
      <c r="M3" s="18" t="s">
        <v>11</v>
      </c>
      <c r="N3" s="19" t="s">
        <v>12</v>
      </c>
      <c r="O3" s="20" t="s">
        <v>13</v>
      </c>
      <c r="P3" s="21"/>
      <c r="Q3" s="22"/>
      <c r="R3" s="58"/>
    </row>
    <row r="4" ht="16.5" customHeight="1">
      <c r="A4" s="24" t="s">
        <v>14</v>
      </c>
      <c r="B4" s="25" t="s">
        <v>15</v>
      </c>
      <c r="C4" s="26" t="s">
        <v>16</v>
      </c>
      <c r="D4" s="27"/>
      <c r="E4" s="25" t="s">
        <v>17</v>
      </c>
      <c r="F4" s="28">
        <v>115.0</v>
      </c>
      <c r="G4" s="28">
        <v>12.0</v>
      </c>
      <c r="H4" s="29">
        <f t="shared" ref="H4:H9" si="1">F4/(1.0278-(0.0278*G4))</f>
        <v>165.6583117</v>
      </c>
      <c r="I4" s="28">
        <v>130.0</v>
      </c>
      <c r="J4" s="28">
        <v>8.0</v>
      </c>
      <c r="K4" s="29">
        <f t="shared" ref="K4:K9" si="2">I4/(1.0278-(0.0278*J4))</f>
        <v>161.4104793</v>
      </c>
      <c r="L4" s="28">
        <v>145.0</v>
      </c>
      <c r="M4" s="28">
        <v>6.0</v>
      </c>
      <c r="N4" s="29">
        <f t="shared" ref="N4:N9" si="3">L4/(1.0278-(0.0278*M4))</f>
        <v>168.4088269</v>
      </c>
      <c r="O4" s="51">
        <f t="shared" ref="O4:O9" si="4">+F4*G4+I4*J4+L4*M4</f>
        <v>3290</v>
      </c>
      <c r="P4" s="52"/>
      <c r="Q4" s="53"/>
      <c r="R4" s="59" t="str">
        <f>IF(OR(ISBLANK(O4), ISBLANK('Week -1'!O4)), "", (O4 - 'Week -1'!O4) &amp; " " &amp; IF(O4 - 'Week -1'!O4 &gt; 0, "INCREASE", IF(O4 - 'Week -1'!O4 &lt; 0, "DECREASE", "NO CHANGE")))</f>
        <v>370 INCREASE</v>
      </c>
    </row>
    <row r="5" ht="16.5" customHeight="1">
      <c r="A5" s="24" t="s">
        <v>18</v>
      </c>
      <c r="B5" s="25" t="s">
        <v>15</v>
      </c>
      <c r="C5" s="26" t="s">
        <v>19</v>
      </c>
      <c r="D5" s="27"/>
      <c r="E5" s="25" t="s">
        <v>17</v>
      </c>
      <c r="F5" s="28">
        <v>52.5</v>
      </c>
      <c r="G5" s="28">
        <v>6.0</v>
      </c>
      <c r="H5" s="29">
        <f t="shared" si="1"/>
        <v>60.97560976</v>
      </c>
      <c r="I5" s="28">
        <v>42.5</v>
      </c>
      <c r="J5" s="28">
        <v>12.0</v>
      </c>
      <c r="K5" s="29">
        <f t="shared" si="2"/>
        <v>61.22154999</v>
      </c>
      <c r="L5" s="28">
        <v>47.5</v>
      </c>
      <c r="M5" s="28">
        <v>12.0</v>
      </c>
      <c r="N5" s="29">
        <f t="shared" si="3"/>
        <v>68.42408528</v>
      </c>
      <c r="O5" s="34">
        <f t="shared" si="4"/>
        <v>1395</v>
      </c>
      <c r="P5" s="35"/>
      <c r="Q5" s="36"/>
      <c r="R5" s="60" t="str">
        <f>IF(OR(ISBLANK(O5), ISBLANK('Week -1'!O5)), "", (O5 - 'Week -1'!O5) &amp; " " &amp; IF(O5 - 'Week -1'!O5 &gt; 0, "INCREASE", IF(O5 - 'Week -1'!O5 &lt; 0, "DECREASE", "NO CHANGE")))</f>
        <v>-365 DECREASE</v>
      </c>
    </row>
    <row r="6" ht="16.5" customHeight="1">
      <c r="A6" s="24" t="s">
        <v>20</v>
      </c>
      <c r="B6" s="25" t="s">
        <v>15</v>
      </c>
      <c r="C6" s="26" t="s">
        <v>19</v>
      </c>
      <c r="D6" s="27"/>
      <c r="E6" s="25" t="s">
        <v>17</v>
      </c>
      <c r="F6" s="28">
        <v>65.0</v>
      </c>
      <c r="G6" s="28">
        <v>10.0</v>
      </c>
      <c r="H6" s="29">
        <f t="shared" si="1"/>
        <v>86.68978394</v>
      </c>
      <c r="I6" s="28">
        <v>65.0</v>
      </c>
      <c r="J6" s="28">
        <v>8.0</v>
      </c>
      <c r="K6" s="29">
        <f t="shared" si="2"/>
        <v>80.70523963</v>
      </c>
      <c r="L6" s="28">
        <v>55.0</v>
      </c>
      <c r="M6" s="28">
        <v>7.0</v>
      </c>
      <c r="N6" s="29">
        <f t="shared" si="3"/>
        <v>66.01056169</v>
      </c>
      <c r="O6" s="51">
        <f t="shared" si="4"/>
        <v>1555</v>
      </c>
      <c r="P6" s="52"/>
      <c r="Q6" s="53"/>
      <c r="R6" s="59" t="str">
        <f>IF(OR(ISBLANK(O6), ISBLANK('Week -1'!O6)), "", (O6 - 'Week -1'!O6) &amp; " " &amp; IF(O6 - 'Week -1'!O6 &gt; 0, "INCREASE", IF(O6 - 'Week -1'!O6 &lt; 0, "DECREASE", "NO CHANGE")))</f>
        <v>485 INCREASE</v>
      </c>
    </row>
    <row r="7" ht="16.5" customHeight="1">
      <c r="A7" s="24" t="s">
        <v>21</v>
      </c>
      <c r="B7" s="25" t="s">
        <v>15</v>
      </c>
      <c r="C7" s="26" t="s">
        <v>22</v>
      </c>
      <c r="D7" s="27"/>
      <c r="E7" s="25" t="s">
        <v>17</v>
      </c>
      <c r="F7" s="28">
        <v>55.0</v>
      </c>
      <c r="G7" s="28">
        <v>6.0</v>
      </c>
      <c r="H7" s="29">
        <f t="shared" si="1"/>
        <v>63.87921022</v>
      </c>
      <c r="I7" s="28">
        <v>55.0</v>
      </c>
      <c r="J7" s="28">
        <v>6.0</v>
      </c>
      <c r="K7" s="29">
        <f t="shared" si="2"/>
        <v>63.87921022</v>
      </c>
      <c r="L7" s="28">
        <v>55.0</v>
      </c>
      <c r="M7" s="28">
        <v>9.0</v>
      </c>
      <c r="N7" s="29">
        <f t="shared" si="3"/>
        <v>70.73045267</v>
      </c>
      <c r="O7" s="34">
        <f t="shared" si="4"/>
        <v>1155</v>
      </c>
      <c r="P7" s="35"/>
      <c r="Q7" s="36"/>
      <c r="R7" s="60" t="str">
        <f>IF(OR(ISBLANK(O7), ISBLANK('Week -1'!O7)), "", (O7 - 'Week -1'!O7) &amp; " " &amp; IF(O7 - 'Week -1'!O7 &gt; 0, "INCREASE", IF(O7 - 'Week -1'!O7 &lt; 0, "DECREASE", "NO CHANGE")))</f>
        <v>-245 DECREASE</v>
      </c>
    </row>
    <row r="8" ht="16.5" customHeight="1">
      <c r="A8" s="24" t="s">
        <v>23</v>
      </c>
      <c r="B8" s="25" t="s">
        <v>15</v>
      </c>
      <c r="C8" s="26" t="s">
        <v>24</v>
      </c>
      <c r="D8" s="27"/>
      <c r="E8" s="25" t="s">
        <v>17</v>
      </c>
      <c r="F8" s="28">
        <v>115.0</v>
      </c>
      <c r="G8" s="28">
        <v>12.0</v>
      </c>
      <c r="H8" s="29">
        <f t="shared" si="1"/>
        <v>165.6583117</v>
      </c>
      <c r="I8" s="28">
        <v>130.0</v>
      </c>
      <c r="J8" s="28">
        <v>8.0</v>
      </c>
      <c r="K8" s="29">
        <f t="shared" si="2"/>
        <v>161.4104793</v>
      </c>
      <c r="L8" s="28">
        <v>165.0</v>
      </c>
      <c r="M8" s="28">
        <v>3.0</v>
      </c>
      <c r="N8" s="29">
        <f t="shared" si="3"/>
        <v>174.7141042</v>
      </c>
      <c r="O8" s="51">
        <f t="shared" si="4"/>
        <v>2915</v>
      </c>
      <c r="P8" s="52"/>
      <c r="Q8" s="53"/>
      <c r="R8" s="59" t="str">
        <f>IF(OR(ISBLANK(O8), ISBLANK('Week -1'!O8)), "", (O8 - 'Week -1'!O8) &amp; " " &amp; IF(O8 - 'Week -1'!O8 &gt; 0, "INCREASE", IF(O8 - 'Week -1'!O8 &lt; 0, "DECREASE", "NO CHANGE")))</f>
        <v>-615 DECREASE</v>
      </c>
    </row>
    <row r="9" ht="16.5" customHeight="1">
      <c r="A9" s="24" t="s">
        <v>25</v>
      </c>
      <c r="B9" s="25" t="s">
        <v>15</v>
      </c>
      <c r="C9" s="26" t="s">
        <v>26</v>
      </c>
      <c r="D9" s="27"/>
      <c r="E9" s="25" t="s">
        <v>17</v>
      </c>
      <c r="F9" s="28">
        <v>130.0</v>
      </c>
      <c r="G9" s="28">
        <v>11.0</v>
      </c>
      <c r="H9" s="29">
        <f t="shared" si="1"/>
        <v>180.0554017</v>
      </c>
      <c r="I9" s="28">
        <v>130.0</v>
      </c>
      <c r="J9" s="28">
        <v>11.0</v>
      </c>
      <c r="K9" s="29">
        <f t="shared" si="2"/>
        <v>180.0554017</v>
      </c>
      <c r="L9" s="28">
        <v>150.0</v>
      </c>
      <c r="M9" s="28">
        <v>10.0</v>
      </c>
      <c r="N9" s="29">
        <f t="shared" si="3"/>
        <v>200.0533476</v>
      </c>
      <c r="O9" s="34">
        <f t="shared" si="4"/>
        <v>4360</v>
      </c>
      <c r="P9" s="35"/>
      <c r="Q9" s="36"/>
      <c r="R9" s="60"/>
    </row>
    <row r="10" ht="16.5" customHeight="1">
      <c r="A10" s="17" t="s">
        <v>27</v>
      </c>
      <c r="B10" s="16" t="s">
        <v>6</v>
      </c>
      <c r="C10" s="16" t="s">
        <v>7</v>
      </c>
      <c r="D10" s="16" t="s">
        <v>8</v>
      </c>
      <c r="E10" s="16" t="s">
        <v>28</v>
      </c>
      <c r="F10" s="18" t="s">
        <v>10</v>
      </c>
      <c r="G10" s="18" t="s">
        <v>11</v>
      </c>
      <c r="H10" s="19" t="s">
        <v>12</v>
      </c>
      <c r="I10" s="18" t="s">
        <v>10</v>
      </c>
      <c r="J10" s="18" t="s">
        <v>11</v>
      </c>
      <c r="K10" s="19" t="s">
        <v>12</v>
      </c>
      <c r="L10" s="18" t="s">
        <v>10</v>
      </c>
      <c r="M10" s="18" t="s">
        <v>11</v>
      </c>
      <c r="N10" s="19" t="s">
        <v>12</v>
      </c>
      <c r="O10" s="61" t="s">
        <v>13</v>
      </c>
      <c r="P10" s="62"/>
      <c r="Q10" s="63"/>
      <c r="R10" s="64"/>
    </row>
    <row r="11" ht="15.75" customHeight="1">
      <c r="A11" s="24" t="s">
        <v>29</v>
      </c>
      <c r="B11" s="25" t="s">
        <v>15</v>
      </c>
      <c r="C11" s="26" t="s">
        <v>22</v>
      </c>
      <c r="D11" s="27"/>
      <c r="E11" s="25" t="s">
        <v>17</v>
      </c>
      <c r="F11" s="28">
        <v>115.0</v>
      </c>
      <c r="G11" s="28">
        <v>14.0</v>
      </c>
      <c r="H11" s="29">
        <f t="shared" ref="H11:H16" si="5">F11/(1.0278-(0.0278*G11))</f>
        <v>180.0814281</v>
      </c>
      <c r="I11" s="28">
        <v>130.0</v>
      </c>
      <c r="J11" s="28">
        <v>12.0</v>
      </c>
      <c r="K11" s="29">
        <f t="shared" ref="K11:K16" si="6">I11/(1.0278-(0.0278*J11))</f>
        <v>187.2659176</v>
      </c>
      <c r="L11" s="28">
        <v>145.0</v>
      </c>
      <c r="M11" s="28">
        <v>10.0</v>
      </c>
      <c r="N11" s="29">
        <f t="shared" ref="N11:N16" si="7">L11/(1.0278-(0.0278*M11))</f>
        <v>193.3849026</v>
      </c>
      <c r="O11" s="34">
        <f t="shared" ref="O11:O16" si="8">+F11*G11+I11*J11+L11*M11</f>
        <v>4620</v>
      </c>
      <c r="P11" s="35"/>
      <c r="Q11" s="36"/>
      <c r="R11" s="60" t="str">
        <f>IF(OR(ISBLANK(O11), ISBLANK('Week -1'!O11)), "", (O11 - 'Week -1'!O11) &amp; " " &amp; IF(O11 - 'Week -1'!O11 &gt; 0, "INCREASE", IF(O11 - 'Week -1'!O11 &lt; 0, "DECREASE", "NO CHANGE")))</f>
        <v>1235 INCREASE</v>
      </c>
    </row>
    <row r="12" ht="15.75" customHeight="1">
      <c r="A12" s="24" t="s">
        <v>50</v>
      </c>
      <c r="B12" s="25" t="s">
        <v>15</v>
      </c>
      <c r="C12" s="26" t="s">
        <v>16</v>
      </c>
      <c r="D12" s="27"/>
      <c r="E12" s="25" t="s">
        <v>17</v>
      </c>
      <c r="F12" s="38"/>
      <c r="G12" s="38"/>
      <c r="H12" s="29">
        <f t="shared" si="5"/>
        <v>0</v>
      </c>
      <c r="I12" s="38"/>
      <c r="J12" s="38"/>
      <c r="K12" s="29">
        <f t="shared" si="6"/>
        <v>0</v>
      </c>
      <c r="L12" s="38"/>
      <c r="M12" s="38"/>
      <c r="N12" s="29">
        <f t="shared" si="7"/>
        <v>0</v>
      </c>
      <c r="O12" s="30">
        <f t="shared" si="8"/>
        <v>0</v>
      </c>
      <c r="P12" s="31"/>
      <c r="Q12" s="32"/>
      <c r="R12" s="59" t="str">
        <f>IF(OR(ISBLANK(O12), ISBLANK('Week -1'!O12)), "", (O12 - 'Week -1'!O12) &amp; " " &amp; IF(O12 - 'Week -1'!O12 &gt; 0, "INCREASE", IF(O12 - 'Week -1'!O12 &lt; 0, "DECREASE", "NO CHANGE")))</f>
        <v>0 NO CHANGE</v>
      </c>
    </row>
    <row r="13" ht="15.75" customHeight="1">
      <c r="A13" s="24" t="s">
        <v>31</v>
      </c>
      <c r="B13" s="25" t="s">
        <v>15</v>
      </c>
      <c r="C13" s="26" t="s">
        <v>22</v>
      </c>
      <c r="D13" s="27"/>
      <c r="E13" s="25" t="s">
        <v>17</v>
      </c>
      <c r="F13" s="28">
        <v>110.0</v>
      </c>
      <c r="G13" s="28">
        <v>10.0</v>
      </c>
      <c r="H13" s="29">
        <f t="shared" si="5"/>
        <v>146.7057882</v>
      </c>
      <c r="I13" s="28">
        <v>110.0</v>
      </c>
      <c r="J13" s="28">
        <v>9.0</v>
      </c>
      <c r="K13" s="29">
        <f t="shared" si="6"/>
        <v>141.4609053</v>
      </c>
      <c r="L13" s="28">
        <v>110.0</v>
      </c>
      <c r="M13" s="28">
        <v>9.0</v>
      </c>
      <c r="N13" s="29">
        <f t="shared" si="7"/>
        <v>141.4609053</v>
      </c>
      <c r="O13" s="34">
        <f t="shared" si="8"/>
        <v>3080</v>
      </c>
      <c r="P13" s="35"/>
      <c r="Q13" s="36"/>
      <c r="R13" s="60"/>
    </row>
    <row r="14" ht="15.75" customHeight="1">
      <c r="A14" s="24" t="s">
        <v>32</v>
      </c>
      <c r="B14" s="25" t="s">
        <v>15</v>
      </c>
      <c r="C14" s="26" t="s">
        <v>16</v>
      </c>
      <c r="D14" s="45"/>
      <c r="E14" s="25" t="s">
        <v>17</v>
      </c>
      <c r="F14" s="28">
        <v>140.0</v>
      </c>
      <c r="G14" s="28">
        <v>9.0</v>
      </c>
      <c r="H14" s="29">
        <f t="shared" si="5"/>
        <v>180.0411523</v>
      </c>
      <c r="I14" s="28">
        <v>180.0</v>
      </c>
      <c r="J14" s="28">
        <v>3.0</v>
      </c>
      <c r="K14" s="29">
        <f t="shared" si="6"/>
        <v>190.5972046</v>
      </c>
      <c r="L14" s="28">
        <v>140.0</v>
      </c>
      <c r="M14" s="28">
        <v>9.0</v>
      </c>
      <c r="N14" s="29">
        <f t="shared" si="7"/>
        <v>180.0411523</v>
      </c>
      <c r="O14" s="30">
        <f t="shared" si="8"/>
        <v>3060</v>
      </c>
      <c r="P14" s="31"/>
      <c r="Q14" s="32"/>
      <c r="R14" s="59" t="str">
        <f>IF(OR(ISBLANK(O14), ISBLANK('Week -1'!O14)), "", (O14 - 'Week -1'!O14) &amp; " " &amp; IF(O14 - 'Week -1'!O14 &gt; 0, "INCREASE", IF(O14 - 'Week -1'!O14 &lt; 0, "DECREASE", "NO CHANGE")))</f>
        <v>-160 DECREASE</v>
      </c>
    </row>
    <row r="15" ht="15.75" customHeight="1">
      <c r="A15" s="24" t="s">
        <v>33</v>
      </c>
      <c r="B15" s="25" t="s">
        <v>15</v>
      </c>
      <c r="C15" s="26" t="s">
        <v>22</v>
      </c>
      <c r="D15" s="45"/>
      <c r="E15" s="25" t="s">
        <v>17</v>
      </c>
      <c r="F15" s="28">
        <v>90.0</v>
      </c>
      <c r="G15" s="28">
        <v>14.0</v>
      </c>
      <c r="H15" s="29">
        <f t="shared" si="5"/>
        <v>140.9332916</v>
      </c>
      <c r="I15" s="28">
        <v>110.0</v>
      </c>
      <c r="J15" s="28">
        <v>12.0</v>
      </c>
      <c r="K15" s="29">
        <f t="shared" si="6"/>
        <v>158.4557764</v>
      </c>
      <c r="L15" s="28">
        <v>110.0</v>
      </c>
      <c r="M15" s="28">
        <v>10.0</v>
      </c>
      <c r="N15" s="29">
        <f t="shared" si="7"/>
        <v>146.7057882</v>
      </c>
      <c r="O15" s="34">
        <f t="shared" si="8"/>
        <v>3680</v>
      </c>
      <c r="P15" s="35"/>
      <c r="Q15" s="36"/>
      <c r="R15" s="60" t="str">
        <f>IF(OR(ISBLANK(O15), ISBLANK('Week -1'!O15)), "", (O15 - 'Week -1'!O15) &amp; " " &amp; IF(O15 - 'Week -1'!O15 &gt; 0, "INCREASE", IF(O15 - 'Week -1'!O15 &lt; 0, "DECREASE", "NO CHANGE")))</f>
        <v>50 INCREASE</v>
      </c>
    </row>
    <row r="16" ht="15.75" customHeight="1">
      <c r="A16" s="24" t="s">
        <v>34</v>
      </c>
      <c r="B16" s="25" t="s">
        <v>15</v>
      </c>
      <c r="C16" s="26" t="s">
        <v>16</v>
      </c>
      <c r="D16" s="45"/>
      <c r="E16" s="46">
        <v>60.0</v>
      </c>
      <c r="F16" s="38"/>
      <c r="G16" s="38"/>
      <c r="H16" s="29">
        <f t="shared" si="5"/>
        <v>0</v>
      </c>
      <c r="I16" s="38"/>
      <c r="J16" s="38"/>
      <c r="K16" s="29">
        <f t="shared" si="6"/>
        <v>0</v>
      </c>
      <c r="L16" s="38"/>
      <c r="M16" s="38"/>
      <c r="N16" s="29">
        <f t="shared" si="7"/>
        <v>0</v>
      </c>
      <c r="O16" s="30">
        <f t="shared" si="8"/>
        <v>0</v>
      </c>
      <c r="P16" s="31"/>
      <c r="Q16" s="32"/>
      <c r="R16" s="59"/>
    </row>
    <row r="17" ht="16.5" customHeight="1">
      <c r="A17" s="15" t="s">
        <v>35</v>
      </c>
      <c r="B17" s="16" t="s">
        <v>6</v>
      </c>
      <c r="C17" s="16" t="s">
        <v>7</v>
      </c>
      <c r="D17" s="16" t="s">
        <v>8</v>
      </c>
      <c r="E17" s="16" t="s">
        <v>28</v>
      </c>
      <c r="F17" s="18" t="s">
        <v>10</v>
      </c>
      <c r="G17" s="18" t="s">
        <v>11</v>
      </c>
      <c r="H17" s="19" t="s">
        <v>12</v>
      </c>
      <c r="I17" s="18" t="s">
        <v>10</v>
      </c>
      <c r="J17" s="18" t="s">
        <v>11</v>
      </c>
      <c r="K17" s="19" t="s">
        <v>12</v>
      </c>
      <c r="L17" s="18" t="s">
        <v>10</v>
      </c>
      <c r="M17" s="18" t="s">
        <v>11</v>
      </c>
      <c r="N17" s="19" t="s">
        <v>12</v>
      </c>
      <c r="O17" s="47" t="s">
        <v>13</v>
      </c>
      <c r="P17" s="48"/>
      <c r="Q17" s="49"/>
      <c r="R17" s="65"/>
    </row>
    <row r="18" ht="16.5" customHeight="1">
      <c r="A18" s="50" t="s">
        <v>36</v>
      </c>
      <c r="B18" s="27"/>
      <c r="C18" s="27"/>
      <c r="D18" s="27"/>
      <c r="E18" s="27"/>
      <c r="F18" s="38"/>
      <c r="G18" s="38"/>
      <c r="H18" s="29">
        <f>F18/(1.0278-(0.0278*G18))</f>
        <v>0</v>
      </c>
      <c r="I18" s="38"/>
      <c r="J18" s="38"/>
      <c r="K18" s="29">
        <f>I18/(1.0278-(0.0278*J18))</f>
        <v>0</v>
      </c>
      <c r="L18" s="38"/>
      <c r="M18" s="38"/>
      <c r="N18" s="29">
        <f>L18/(1.0278-(0.0278*M18))</f>
        <v>0</v>
      </c>
      <c r="O18" s="51" t="str">
        <f>+F18*G18+I18*J18+L18*M18+#REF!*#REF!+#REF!*#REF!</f>
        <v>#REF!</v>
      </c>
      <c r="P18" s="52"/>
      <c r="Q18" s="53"/>
      <c r="R18" s="66"/>
    </row>
    <row r="19" ht="16.5" customHeight="1">
      <c r="A19" s="15" t="s">
        <v>37</v>
      </c>
      <c r="B19" s="16" t="s">
        <v>6</v>
      </c>
      <c r="C19" s="16" t="s">
        <v>7</v>
      </c>
      <c r="D19" s="16" t="s">
        <v>8</v>
      </c>
      <c r="E19" s="16" t="s">
        <v>28</v>
      </c>
      <c r="F19" s="18" t="s">
        <v>10</v>
      </c>
      <c r="G19" s="18" t="s">
        <v>11</v>
      </c>
      <c r="H19" s="19" t="s">
        <v>12</v>
      </c>
      <c r="I19" s="18" t="s">
        <v>10</v>
      </c>
      <c r="J19" s="18" t="s">
        <v>11</v>
      </c>
      <c r="K19" s="19" t="s">
        <v>12</v>
      </c>
      <c r="L19" s="18" t="s">
        <v>10</v>
      </c>
      <c r="M19" s="18" t="s">
        <v>11</v>
      </c>
      <c r="N19" s="19" t="s">
        <v>12</v>
      </c>
      <c r="O19" s="54" t="s">
        <v>13</v>
      </c>
      <c r="P19" s="55"/>
      <c r="Q19" s="56"/>
      <c r="R19" s="65"/>
    </row>
    <row r="20" ht="16.5" customHeight="1">
      <c r="A20" s="24" t="s">
        <v>38</v>
      </c>
      <c r="B20" s="25" t="s">
        <v>15</v>
      </c>
      <c r="C20" s="25" t="s">
        <v>39</v>
      </c>
      <c r="D20" s="27"/>
      <c r="E20" s="25" t="s">
        <v>17</v>
      </c>
      <c r="F20" s="28">
        <v>130.0</v>
      </c>
      <c r="G20" s="28">
        <v>10.0</v>
      </c>
      <c r="H20" s="29">
        <f t="shared" ref="H20:H24" si="9">F20/(1.0278-(0.0278*G20))</f>
        <v>173.3795679</v>
      </c>
      <c r="I20" s="28">
        <v>130.0</v>
      </c>
      <c r="J20" s="28">
        <v>10.0</v>
      </c>
      <c r="K20" s="29">
        <f t="shared" ref="K20:K24" si="10">I20/(1.0278-(0.0278*J20))</f>
        <v>173.3795679</v>
      </c>
      <c r="L20" s="28">
        <v>145.0</v>
      </c>
      <c r="M20" s="28">
        <v>8.0</v>
      </c>
      <c r="N20" s="29">
        <f t="shared" ref="N20:N24" si="11">L20/(1.0278-(0.0278*M20))</f>
        <v>180.0347653</v>
      </c>
      <c r="O20" s="30">
        <f t="shared" ref="O20:O24" si="12">+F20*G20+I20*J20+L20*M20</f>
        <v>3760</v>
      </c>
      <c r="P20" s="31"/>
      <c r="Q20" s="32"/>
      <c r="R20" s="59" t="str">
        <f>IF(OR(ISBLANK(O20), ISBLANK('Week -1'!O20)), "", (O20 - 'Week -1'!O20) &amp; " " &amp; IF(O20 - 'Week -1'!O20 &gt; 0, "INCREASE", IF(O20 - 'Week -1'!O20 &lt; 0, "DECREASE", "NO CHANGE")))</f>
        <v>515 INCREASE</v>
      </c>
    </row>
    <row r="21" ht="15.75" customHeight="1">
      <c r="A21" s="24" t="s">
        <v>40</v>
      </c>
      <c r="B21" s="25" t="s">
        <v>15</v>
      </c>
      <c r="C21" s="25" t="s">
        <v>39</v>
      </c>
      <c r="D21" s="27"/>
      <c r="E21" s="25" t="s">
        <v>17</v>
      </c>
      <c r="F21" s="28">
        <v>40.0</v>
      </c>
      <c r="G21" s="28">
        <v>8.0</v>
      </c>
      <c r="H21" s="29">
        <f t="shared" si="9"/>
        <v>49.66476285</v>
      </c>
      <c r="I21" s="28">
        <v>40.0</v>
      </c>
      <c r="J21" s="28">
        <v>5.0</v>
      </c>
      <c r="K21" s="29">
        <f t="shared" si="10"/>
        <v>45.00450045</v>
      </c>
      <c r="L21" s="28">
        <v>40.0</v>
      </c>
      <c r="M21" s="28">
        <v>5.0</v>
      </c>
      <c r="N21" s="29">
        <f t="shared" si="11"/>
        <v>45.00450045</v>
      </c>
      <c r="O21" s="34">
        <f t="shared" si="12"/>
        <v>720</v>
      </c>
      <c r="P21" s="35"/>
      <c r="Q21" s="36"/>
      <c r="R21" s="60" t="str">
        <f>IF(OR(ISBLANK(O21), ISBLANK('Week -1'!O21)), "", (O21 - 'Week -1'!O21) &amp; " " &amp; IF(O21 - 'Week -1'!O21 &gt; 0, "INCREASE", IF(O21 - 'Week -1'!O21 &lt; 0, "DECREASE", "NO CHANGE")))</f>
        <v>720 INCREASE</v>
      </c>
    </row>
    <row r="22" ht="15.75" customHeight="1">
      <c r="A22" s="24" t="s">
        <v>41</v>
      </c>
      <c r="B22" s="44" t="s">
        <v>15</v>
      </c>
      <c r="C22" s="25" t="s">
        <v>39</v>
      </c>
      <c r="D22" s="27"/>
      <c r="E22" s="25" t="s">
        <v>17</v>
      </c>
      <c r="F22" s="28">
        <v>25.0</v>
      </c>
      <c r="G22" s="28">
        <v>12.0</v>
      </c>
      <c r="H22" s="29">
        <f t="shared" si="9"/>
        <v>36.01267646</v>
      </c>
      <c r="I22" s="28">
        <v>25.0</v>
      </c>
      <c r="J22" s="28">
        <v>12.0</v>
      </c>
      <c r="K22" s="29">
        <f t="shared" si="10"/>
        <v>36.01267646</v>
      </c>
      <c r="L22" s="28">
        <v>25.0</v>
      </c>
      <c r="M22" s="28">
        <v>12.0</v>
      </c>
      <c r="N22" s="29">
        <f t="shared" si="11"/>
        <v>36.01267646</v>
      </c>
      <c r="O22" s="30">
        <f t="shared" si="12"/>
        <v>900</v>
      </c>
      <c r="P22" s="31"/>
      <c r="Q22" s="32"/>
      <c r="R22" s="59" t="str">
        <f>IF(OR(ISBLANK(O22), ISBLANK('Week -1'!O22)), "", (O22 - 'Week -1'!O22) &amp; " " &amp; IF(O22 - 'Week -1'!O22 &gt; 0, "INCREASE", IF(O22 - 'Week -1'!O22 &lt; 0, "DECREASE", "NO CHANGE")))</f>
        <v>200 INCREASE</v>
      </c>
    </row>
    <row r="23" ht="16.5" customHeight="1">
      <c r="A23" s="24" t="s">
        <v>21</v>
      </c>
      <c r="B23" s="44" t="s">
        <v>15</v>
      </c>
      <c r="C23" s="25" t="s">
        <v>39</v>
      </c>
      <c r="D23" s="27"/>
      <c r="E23" s="25" t="s">
        <v>17</v>
      </c>
      <c r="F23" s="28">
        <v>40.0</v>
      </c>
      <c r="G23" s="28">
        <v>8.0</v>
      </c>
      <c r="H23" s="29">
        <f t="shared" si="9"/>
        <v>49.66476285</v>
      </c>
      <c r="I23" s="28">
        <v>40.0</v>
      </c>
      <c r="J23" s="28">
        <v>9.0</v>
      </c>
      <c r="K23" s="29">
        <f t="shared" si="10"/>
        <v>51.44032922</v>
      </c>
      <c r="L23" s="28">
        <v>40.0</v>
      </c>
      <c r="M23" s="28">
        <v>10.0</v>
      </c>
      <c r="N23" s="29">
        <f t="shared" si="11"/>
        <v>53.34755935</v>
      </c>
      <c r="O23" s="34">
        <f t="shared" si="12"/>
        <v>1080</v>
      </c>
      <c r="P23" s="35"/>
      <c r="Q23" s="36"/>
      <c r="R23" s="60" t="str">
        <f>IF(OR(ISBLANK(O23), ISBLANK('Week -1'!O23)), "", (O23 - 'Week -1'!O23) &amp; " " &amp; IF(O23 - 'Week -1'!O23 &gt; 0, "INCREASE", IF(O23 - 'Week -1'!O23 &lt; 0, "DECREASE", "NO CHANGE")))</f>
        <v>90 INCREASE</v>
      </c>
    </row>
    <row r="24" ht="15.75" customHeight="1">
      <c r="A24" s="24" t="s">
        <v>31</v>
      </c>
      <c r="B24" s="25" t="s">
        <v>15</v>
      </c>
      <c r="C24" s="25" t="s">
        <v>39</v>
      </c>
      <c r="D24" s="27"/>
      <c r="E24" s="25" t="s">
        <v>17</v>
      </c>
      <c r="F24" s="28">
        <v>125.0</v>
      </c>
      <c r="G24" s="28">
        <v>12.0</v>
      </c>
      <c r="H24" s="29">
        <f t="shared" si="9"/>
        <v>180.0633823</v>
      </c>
      <c r="I24" s="28">
        <v>125.0</v>
      </c>
      <c r="J24" s="28">
        <v>7.0</v>
      </c>
      <c r="K24" s="29">
        <f t="shared" si="10"/>
        <v>150.0240038</v>
      </c>
      <c r="L24" s="28">
        <v>110.0</v>
      </c>
      <c r="M24" s="28">
        <v>10.0</v>
      </c>
      <c r="N24" s="29">
        <f t="shared" si="11"/>
        <v>146.7057882</v>
      </c>
      <c r="O24" s="30">
        <f t="shared" si="12"/>
        <v>3475</v>
      </c>
      <c r="P24" s="31"/>
      <c r="Q24" s="32"/>
      <c r="R24" s="59" t="str">
        <f>IF(OR(ISBLANK(O24), ISBLANK('Week -1'!O24)), "", (O24 - 'Week -1'!O24) &amp; " " &amp; IF(O24 - 'Week -1'!O24 &gt; 0, "INCREASE", IF(O24 - 'Week -1'!O24 &lt; 0, "DECREASE", "NO CHANGE")))</f>
        <v>95 INCREASE</v>
      </c>
    </row>
    <row r="25" ht="15.0" customHeight="1">
      <c r="A25" s="15" t="s">
        <v>42</v>
      </c>
      <c r="B25" s="16" t="s">
        <v>6</v>
      </c>
      <c r="C25" s="16" t="s">
        <v>7</v>
      </c>
      <c r="D25" s="16" t="s">
        <v>8</v>
      </c>
      <c r="E25" s="16" t="s">
        <v>28</v>
      </c>
      <c r="F25" s="18" t="s">
        <v>10</v>
      </c>
      <c r="G25" s="18" t="s">
        <v>11</v>
      </c>
      <c r="H25" s="19" t="s">
        <v>12</v>
      </c>
      <c r="I25" s="18" t="s">
        <v>10</v>
      </c>
      <c r="J25" s="18" t="s">
        <v>11</v>
      </c>
      <c r="K25" s="19" t="s">
        <v>12</v>
      </c>
      <c r="L25" s="18" t="s">
        <v>10</v>
      </c>
      <c r="M25" s="18" t="s">
        <v>11</v>
      </c>
      <c r="N25" s="19" t="s">
        <v>12</v>
      </c>
      <c r="O25" s="54" t="s">
        <v>13</v>
      </c>
      <c r="P25" s="55"/>
      <c r="Q25" s="56"/>
      <c r="R25" s="60"/>
    </row>
    <row r="26" ht="15.0" customHeight="1">
      <c r="A26" s="24" t="s">
        <v>43</v>
      </c>
      <c r="B26" s="25" t="s">
        <v>15</v>
      </c>
      <c r="C26" s="26" t="s">
        <v>22</v>
      </c>
      <c r="D26" s="27"/>
      <c r="E26" s="25" t="s">
        <v>17</v>
      </c>
      <c r="F26" s="28">
        <v>45.0</v>
      </c>
      <c r="G26" s="28">
        <v>10.0</v>
      </c>
      <c r="H26" s="29">
        <f t="shared" ref="H26:H31" si="13">F26/(1.0278-(0.0278*G26))</f>
        <v>60.01600427</v>
      </c>
      <c r="I26" s="28">
        <v>65.0</v>
      </c>
      <c r="J26" s="28">
        <v>8.0</v>
      </c>
      <c r="K26" s="29">
        <f t="shared" ref="K26:K31" si="14">I26/(1.0278-(0.0278*J26))</f>
        <v>80.70523963</v>
      </c>
      <c r="L26" s="28">
        <v>85.0</v>
      </c>
      <c r="M26" s="28">
        <v>6.0</v>
      </c>
      <c r="N26" s="29">
        <f t="shared" ref="N26:N31" si="15">L26/(1.0278-(0.0278*M26))</f>
        <v>98.7224158</v>
      </c>
      <c r="O26" s="30">
        <f t="shared" ref="O26:O31" si="16">+F26*G26+I26*J26+L26*M26</f>
        <v>1480</v>
      </c>
      <c r="P26" s="31"/>
      <c r="Q26" s="32"/>
      <c r="R26" s="59" t="str">
        <f>IF(OR(ISBLANK(O26), ISBLANK('Week -1'!O26)), "", (O26 - 'Week -1'!O26) &amp; " " &amp; IF(O26 - 'Week -1'!O26 &gt; 0, "INCREASE", IF(O26 - 'Week -1'!O26 &lt; 0, "DECREASE", "NO CHANGE")))</f>
        <v>600 INCREASE</v>
      </c>
    </row>
    <row r="27" ht="15.0" customHeight="1">
      <c r="A27" s="24" t="s">
        <v>51</v>
      </c>
      <c r="B27" s="25" t="s">
        <v>15</v>
      </c>
      <c r="C27" s="26" t="s">
        <v>19</v>
      </c>
      <c r="D27" s="27"/>
      <c r="E27" s="25" t="s">
        <v>17</v>
      </c>
      <c r="F27" s="28">
        <v>160.0</v>
      </c>
      <c r="G27" s="28">
        <v>10.0</v>
      </c>
      <c r="H27" s="29">
        <f t="shared" si="13"/>
        <v>213.3902374</v>
      </c>
      <c r="I27" s="28">
        <v>160.0</v>
      </c>
      <c r="J27" s="28">
        <v>10.0</v>
      </c>
      <c r="K27" s="29">
        <f t="shared" si="14"/>
        <v>213.3902374</v>
      </c>
      <c r="L27" s="28">
        <v>145.0</v>
      </c>
      <c r="M27" s="28">
        <v>10.0</v>
      </c>
      <c r="N27" s="29">
        <f t="shared" si="15"/>
        <v>193.3849026</v>
      </c>
      <c r="O27" s="34">
        <f t="shared" si="16"/>
        <v>4650</v>
      </c>
      <c r="P27" s="35"/>
      <c r="Q27" s="36"/>
      <c r="R27" s="60"/>
    </row>
    <row r="28" ht="15.0" customHeight="1">
      <c r="A28" s="24" t="s">
        <v>45</v>
      </c>
      <c r="B28" s="25" t="s">
        <v>15</v>
      </c>
      <c r="C28" s="26" t="s">
        <v>46</v>
      </c>
      <c r="D28" s="27"/>
      <c r="E28" s="25" t="s">
        <v>17</v>
      </c>
      <c r="F28" s="28">
        <v>25.0</v>
      </c>
      <c r="G28" s="28">
        <v>12.0</v>
      </c>
      <c r="H28" s="29">
        <f t="shared" si="13"/>
        <v>36.01267646</v>
      </c>
      <c r="I28" s="28">
        <v>25.0</v>
      </c>
      <c r="J28" s="28">
        <v>12.0</v>
      </c>
      <c r="K28" s="29">
        <f t="shared" si="14"/>
        <v>36.01267646</v>
      </c>
      <c r="L28" s="28">
        <v>25.0</v>
      </c>
      <c r="M28" s="28">
        <v>12.0</v>
      </c>
      <c r="N28" s="29">
        <f t="shared" si="15"/>
        <v>36.01267646</v>
      </c>
      <c r="O28" s="30">
        <f t="shared" si="16"/>
        <v>900</v>
      </c>
      <c r="P28" s="31"/>
      <c r="Q28" s="32"/>
      <c r="R28" s="59" t="str">
        <f>IF(OR(ISBLANK(O28), ISBLANK('Week -1'!O28)), "", (O28 - 'Week -1'!O28) &amp; " " &amp; IF(O28 - 'Week -1'!O28 &gt; 0, "INCREASE", IF(O28 - 'Week -1'!O28 &lt; 0, "DECREASE", "NO CHANGE")))</f>
        <v>900 INCREASE</v>
      </c>
    </row>
    <row r="29" ht="15.0" customHeight="1">
      <c r="A29" s="24" t="s">
        <v>47</v>
      </c>
      <c r="B29" s="25" t="s">
        <v>15</v>
      </c>
      <c r="C29" s="26" t="s">
        <v>19</v>
      </c>
      <c r="D29" s="27"/>
      <c r="E29" s="25" t="s">
        <v>17</v>
      </c>
      <c r="F29" s="28">
        <v>175.0</v>
      </c>
      <c r="G29" s="28">
        <v>9.0</v>
      </c>
      <c r="H29" s="29">
        <f t="shared" si="13"/>
        <v>225.0514403</v>
      </c>
      <c r="I29" s="28">
        <v>160.0</v>
      </c>
      <c r="J29" s="28">
        <v>10.0</v>
      </c>
      <c r="K29" s="29">
        <f t="shared" si="14"/>
        <v>213.3902374</v>
      </c>
      <c r="L29" s="28">
        <v>160.0</v>
      </c>
      <c r="M29" s="28">
        <v>9.0</v>
      </c>
      <c r="N29" s="29">
        <f t="shared" si="15"/>
        <v>205.7613169</v>
      </c>
      <c r="O29" s="34">
        <f t="shared" si="16"/>
        <v>4615</v>
      </c>
      <c r="P29" s="35"/>
      <c r="Q29" s="36"/>
      <c r="R29" s="60" t="str">
        <f>IF(OR(ISBLANK(O29), ISBLANK('Week -1'!O29)), "", (O29 - 'Week -1'!O29) &amp; " " &amp; IF(O29 - 'Week -1'!O29 &gt; 0, "INCREASE", IF(O29 - 'Week -1'!O29 &lt; 0, "DECREASE", "NO CHANGE")))</f>
        <v>425 INCREASE</v>
      </c>
    </row>
    <row r="30" ht="15.75" customHeight="1">
      <c r="A30" s="24" t="s">
        <v>52</v>
      </c>
      <c r="B30" s="25" t="s">
        <v>15</v>
      </c>
      <c r="C30" s="25" t="s">
        <v>39</v>
      </c>
      <c r="D30" s="27"/>
      <c r="E30" s="25" t="s">
        <v>17</v>
      </c>
      <c r="F30" s="28">
        <v>235.0</v>
      </c>
      <c r="G30" s="28">
        <v>10.0</v>
      </c>
      <c r="H30" s="29">
        <f t="shared" si="13"/>
        <v>313.4169112</v>
      </c>
      <c r="I30" s="28">
        <v>235.0</v>
      </c>
      <c r="J30" s="28">
        <v>10.0</v>
      </c>
      <c r="K30" s="29">
        <f t="shared" si="14"/>
        <v>313.4169112</v>
      </c>
      <c r="L30" s="28">
        <v>220.0</v>
      </c>
      <c r="M30" s="28">
        <v>12.0</v>
      </c>
      <c r="N30" s="29">
        <f t="shared" si="15"/>
        <v>316.9115529</v>
      </c>
      <c r="O30" s="30">
        <f t="shared" si="16"/>
        <v>7340</v>
      </c>
      <c r="P30" s="31"/>
      <c r="Q30" s="32"/>
      <c r="R30" s="59" t="str">
        <f>IF(OR(ISBLANK(O30), ISBLANK('Week -1'!O30)), "", (O30 - 'Week -1'!O30) &amp; " " &amp; IF(O30 - 'Week -1'!O30 &gt; 0, "INCREASE", IF(O30 - 'Week -1'!O30 &lt; 0, "DECREASE", "NO CHANGE")))</f>
        <v>-30 DECREASE</v>
      </c>
    </row>
    <row r="31" ht="15.0" customHeight="1">
      <c r="A31" s="24" t="s">
        <v>53</v>
      </c>
      <c r="B31" s="25" t="s">
        <v>15</v>
      </c>
      <c r="C31" s="26" t="s">
        <v>19</v>
      </c>
      <c r="D31" s="27"/>
      <c r="E31" s="25" t="s">
        <v>17</v>
      </c>
      <c r="F31" s="28">
        <v>250.0</v>
      </c>
      <c r="G31" s="28">
        <v>14.0</v>
      </c>
      <c r="H31" s="29">
        <f t="shared" si="13"/>
        <v>391.4813655</v>
      </c>
      <c r="I31" s="28">
        <v>305.0</v>
      </c>
      <c r="J31" s="28">
        <v>18.0</v>
      </c>
      <c r="K31" s="29">
        <f t="shared" si="14"/>
        <v>578.3086841</v>
      </c>
      <c r="L31" s="28">
        <v>305.0</v>
      </c>
      <c r="M31" s="28">
        <v>11.0</v>
      </c>
      <c r="N31" s="29">
        <f t="shared" si="15"/>
        <v>422.4376731</v>
      </c>
      <c r="O31" s="34">
        <f t="shared" si="16"/>
        <v>12345</v>
      </c>
      <c r="P31" s="35"/>
      <c r="Q31" s="36"/>
      <c r="R31" s="60"/>
    </row>
  </sheetData>
  <mergeCells count="35">
    <mergeCell ref="A1:E2"/>
    <mergeCell ref="F1:R1"/>
    <mergeCell ref="F2:H2"/>
    <mergeCell ref="I2:K2"/>
    <mergeCell ref="L2:N2"/>
    <mergeCell ref="O2:Q2"/>
    <mergeCell ref="O3:Q3"/>
    <mergeCell ref="O4:Q4"/>
    <mergeCell ref="O5:Q5"/>
    <mergeCell ref="O6:Q6"/>
    <mergeCell ref="O7:Q7"/>
    <mergeCell ref="O8:Q8"/>
    <mergeCell ref="O9:Q9"/>
    <mergeCell ref="O10:Q10"/>
    <mergeCell ref="O11:Q11"/>
    <mergeCell ref="O12:Q12"/>
    <mergeCell ref="O13:Q13"/>
    <mergeCell ref="O14:Q14"/>
    <mergeCell ref="O15:Q15"/>
    <mergeCell ref="O16:Q16"/>
    <mergeCell ref="O17:Q17"/>
    <mergeCell ref="O25:Q25"/>
    <mergeCell ref="O26:Q26"/>
    <mergeCell ref="O27:Q27"/>
    <mergeCell ref="O28:Q28"/>
    <mergeCell ref="O29:Q29"/>
    <mergeCell ref="O30:Q30"/>
    <mergeCell ref="O31:Q31"/>
    <mergeCell ref="O18:Q18"/>
    <mergeCell ref="O19:Q19"/>
    <mergeCell ref="O20:Q20"/>
    <mergeCell ref="O21:Q21"/>
    <mergeCell ref="O22:Q22"/>
    <mergeCell ref="O23:Q23"/>
    <mergeCell ref="O24:Q24"/>
  </mergeCells>
  <printOptions/>
  <pageMargins bottom="0.75" footer="0.0" header="0.0" left="0.7" right="0.7" top="0.75"/>
  <pageSetup orientation="portrait"/>
  <headerFooter>
    <oddFooter>&amp;C000000&amp;P</oddFooter>
  </headerFooter>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3.25"/>
    <col customWidth="1" min="2" max="2" width="13.13"/>
    <col customWidth="1" min="3" max="3" width="15.38"/>
    <col customWidth="1" min="4" max="4" width="12.13"/>
    <col customWidth="1" min="5" max="5" width="14.38"/>
    <col customWidth="1" min="6" max="6" width="10.75"/>
    <col customWidth="1" min="7" max="7" width="8.38"/>
    <col customWidth="1" min="8" max="8" width="7.13"/>
    <col customWidth="1" min="9" max="10" width="10.88"/>
    <col customWidth="1" min="11" max="11" width="7.75"/>
    <col customWidth="1" min="12" max="13" width="10.88"/>
    <col customWidth="1" min="14" max="14" width="6.63"/>
    <col customWidth="1" min="15" max="16" width="10.88"/>
    <col customWidth="1" min="17" max="17" width="13.25"/>
    <col customWidth="1" min="18" max="18" width="33.25"/>
  </cols>
  <sheetData>
    <row r="1" ht="15.0" customHeight="1">
      <c r="A1" s="1"/>
      <c r="B1" s="2"/>
      <c r="C1" s="2"/>
      <c r="D1" s="2"/>
      <c r="E1" s="3"/>
      <c r="F1" s="4" t="s">
        <v>0</v>
      </c>
      <c r="G1" s="5"/>
      <c r="H1" s="5"/>
      <c r="I1" s="5"/>
      <c r="J1" s="5"/>
      <c r="K1" s="5"/>
      <c r="L1" s="5"/>
      <c r="M1" s="5"/>
      <c r="N1" s="5"/>
      <c r="O1" s="5"/>
      <c r="P1" s="5"/>
      <c r="Q1" s="5"/>
      <c r="R1" s="6"/>
    </row>
    <row r="2" ht="16.5" customHeight="1">
      <c r="A2" s="7"/>
      <c r="B2" s="8"/>
      <c r="C2" s="8"/>
      <c r="D2" s="8"/>
      <c r="E2" s="9"/>
      <c r="F2" s="10" t="s">
        <v>1</v>
      </c>
      <c r="G2" s="5"/>
      <c r="H2" s="6"/>
      <c r="I2" s="10" t="s">
        <v>2</v>
      </c>
      <c r="J2" s="5"/>
      <c r="K2" s="6"/>
      <c r="L2" s="10" t="s">
        <v>3</v>
      </c>
      <c r="M2" s="5"/>
      <c r="N2" s="6"/>
      <c r="O2" s="11" t="s">
        <v>4</v>
      </c>
      <c r="P2" s="12"/>
      <c r="Q2" s="13"/>
      <c r="R2" s="14"/>
    </row>
    <row r="3" ht="16.5" customHeight="1">
      <c r="A3" s="15" t="s">
        <v>5</v>
      </c>
      <c r="B3" s="16" t="s">
        <v>6</v>
      </c>
      <c r="C3" s="16" t="s">
        <v>7</v>
      </c>
      <c r="D3" s="16" t="s">
        <v>8</v>
      </c>
      <c r="E3" s="16" t="s">
        <v>28</v>
      </c>
      <c r="F3" s="18" t="s">
        <v>10</v>
      </c>
      <c r="G3" s="18" t="s">
        <v>11</v>
      </c>
      <c r="H3" s="19" t="s">
        <v>12</v>
      </c>
      <c r="I3" s="18" t="s">
        <v>10</v>
      </c>
      <c r="J3" s="18" t="s">
        <v>11</v>
      </c>
      <c r="K3" s="19" t="s">
        <v>12</v>
      </c>
      <c r="L3" s="18" t="s">
        <v>10</v>
      </c>
      <c r="M3" s="18" t="s">
        <v>11</v>
      </c>
      <c r="N3" s="19" t="s">
        <v>12</v>
      </c>
      <c r="O3" s="20" t="s">
        <v>13</v>
      </c>
      <c r="P3" s="21"/>
      <c r="Q3" s="22"/>
      <c r="R3" s="23"/>
    </row>
    <row r="4" ht="16.5" customHeight="1">
      <c r="A4" s="24" t="s">
        <v>14</v>
      </c>
      <c r="B4" s="25" t="s">
        <v>15</v>
      </c>
      <c r="C4" s="26" t="s">
        <v>16</v>
      </c>
      <c r="D4" s="27"/>
      <c r="E4" s="25" t="s">
        <v>17</v>
      </c>
      <c r="F4" s="28">
        <v>145.0</v>
      </c>
      <c r="G4" s="28">
        <v>10.0</v>
      </c>
      <c r="H4" s="29">
        <f t="shared" ref="H4:H9" si="1">F4/(1.0278-(0.0278*G4))</f>
        <v>193.3849026</v>
      </c>
      <c r="I4" s="28">
        <v>145.0</v>
      </c>
      <c r="J4" s="28">
        <v>10.0</v>
      </c>
      <c r="K4" s="29">
        <f t="shared" ref="K4:K9" si="2">I4/(1.0278-(0.0278*J4))</f>
        <v>193.3849026</v>
      </c>
      <c r="L4" s="28">
        <v>160.0</v>
      </c>
      <c r="M4" s="28">
        <v>6.0</v>
      </c>
      <c r="N4" s="29">
        <f t="shared" ref="N4:N9" si="3">L4/(1.0278-(0.0278*M4))</f>
        <v>185.8304297</v>
      </c>
      <c r="O4" s="30">
        <f t="shared" ref="O4:O9" si="4">+F4*G4+I4*J4+L4*M4</f>
        <v>3860</v>
      </c>
      <c r="P4" s="31"/>
      <c r="Q4" s="32"/>
      <c r="R4" s="33" t="str">
        <f>IF(OR(ISBLANK(N4), ISBLANK('WEEK 1'!N4)), "", ROUNDUP(N4 - 'WEEK 1'!N4, 0) &amp; " " &amp; IF(N4 - 'WEEK 1'!N4 &gt; 0, "INCREASE", IF(N4 - 'WEEK 1'!N4 &lt; 0, "DECREASE", "NO CHANGE")))</f>
        <v>18 INCREASE</v>
      </c>
    </row>
    <row r="5" ht="16.5" customHeight="1">
      <c r="A5" s="24" t="s">
        <v>54</v>
      </c>
      <c r="B5" s="25" t="s">
        <v>15</v>
      </c>
      <c r="C5" s="26" t="s">
        <v>19</v>
      </c>
      <c r="D5" s="27"/>
      <c r="E5" s="25" t="s">
        <v>17</v>
      </c>
      <c r="F5" s="28">
        <v>52.5</v>
      </c>
      <c r="G5" s="28">
        <v>12.0</v>
      </c>
      <c r="H5" s="29">
        <f t="shared" si="1"/>
        <v>75.62662057</v>
      </c>
      <c r="I5" s="28">
        <v>42.5</v>
      </c>
      <c r="J5" s="28">
        <v>10.0</v>
      </c>
      <c r="K5" s="29">
        <f t="shared" si="2"/>
        <v>56.68178181</v>
      </c>
      <c r="L5" s="28">
        <v>42.5</v>
      </c>
      <c r="M5" s="28">
        <v>11.0</v>
      </c>
      <c r="N5" s="29">
        <f t="shared" si="3"/>
        <v>58.86426593</v>
      </c>
      <c r="O5" s="34">
        <f t="shared" si="4"/>
        <v>1522.5</v>
      </c>
      <c r="P5" s="35"/>
      <c r="Q5" s="36"/>
      <c r="R5" s="37" t="str">
        <f>IF(OR(ISBLANK(N5), ISBLANK('WEEK 1'!N5)), "", ROUNDUP(N5 - 'WEEK 1'!N5, 0) &amp; " " &amp; IF(N5 - 'WEEK 1'!N5 &gt; 0, "INCREASE", IF(N5 - 'WEEK 1'!N5 &lt; 0, "DECREASE", "NO CHANGE")))</f>
        <v>-10 DECREASE</v>
      </c>
    </row>
    <row r="6" ht="16.5" customHeight="1">
      <c r="A6" s="24" t="s">
        <v>20</v>
      </c>
      <c r="B6" s="25" t="s">
        <v>15</v>
      </c>
      <c r="C6" s="26" t="s">
        <v>19</v>
      </c>
      <c r="D6" s="27"/>
      <c r="E6" s="25" t="s">
        <v>17</v>
      </c>
      <c r="F6" s="28">
        <v>65.0</v>
      </c>
      <c r="G6" s="28">
        <v>9.0</v>
      </c>
      <c r="H6" s="29">
        <f t="shared" si="1"/>
        <v>83.59053498</v>
      </c>
      <c r="I6" s="28">
        <v>65.0</v>
      </c>
      <c r="J6" s="28">
        <v>8.0</v>
      </c>
      <c r="K6" s="29">
        <f t="shared" si="2"/>
        <v>80.70523963</v>
      </c>
      <c r="L6" s="28">
        <v>65.0</v>
      </c>
      <c r="M6" s="28">
        <v>7.0</v>
      </c>
      <c r="N6" s="29">
        <f t="shared" si="3"/>
        <v>78.012482</v>
      </c>
      <c r="O6" s="30">
        <f t="shared" si="4"/>
        <v>1560</v>
      </c>
      <c r="P6" s="31"/>
      <c r="Q6" s="32"/>
      <c r="R6" s="33" t="str">
        <f>IF(OR(ISBLANK(N6), ISBLANK('WEEK 1'!N6)), "", ROUNDUP(N6 - 'WEEK 1'!N6, 0) &amp; " " &amp; IF(N6 - 'WEEK 1'!N6 &gt; 0, "INCREASE", IF(N6 - 'WEEK 1'!N6 &lt; 0, "DECREASE", "NO CHANGE")))</f>
        <v>13 INCREASE</v>
      </c>
    </row>
    <row r="7" ht="16.5" customHeight="1">
      <c r="A7" s="24" t="s">
        <v>55</v>
      </c>
      <c r="B7" s="25" t="s">
        <v>15</v>
      </c>
      <c r="C7" s="26" t="s">
        <v>22</v>
      </c>
      <c r="D7" s="27"/>
      <c r="E7" s="25" t="s">
        <v>17</v>
      </c>
      <c r="F7" s="28">
        <v>20.0</v>
      </c>
      <c r="G7" s="28">
        <v>7.0</v>
      </c>
      <c r="H7" s="29">
        <f t="shared" si="1"/>
        <v>24.00384061</v>
      </c>
      <c r="I7" s="28">
        <v>15.0</v>
      </c>
      <c r="J7" s="28">
        <v>10.0</v>
      </c>
      <c r="K7" s="29">
        <f t="shared" si="2"/>
        <v>20.00533476</v>
      </c>
      <c r="L7" s="28">
        <v>15.0</v>
      </c>
      <c r="M7" s="28">
        <v>10.0</v>
      </c>
      <c r="N7" s="29">
        <f t="shared" si="3"/>
        <v>20.00533476</v>
      </c>
      <c r="O7" s="34">
        <f t="shared" si="4"/>
        <v>440</v>
      </c>
      <c r="P7" s="35"/>
      <c r="Q7" s="36"/>
      <c r="R7" s="37" t="str">
        <f>IF(OR(ISBLANK(H4), ISBLANK(K4), ISBLANK(N4), ISBLANK('WEEK 2'!N4)), "", ROUNDUP(((H4 + K4 + N4) / 3) - 'WEEK 2'!N4, 0) &amp; " " &amp; IF(((H4 + K4 + N4) / 3) - 'WEEK 2'!N4 &gt; 0, "INCREASE", IF(((H4 + K4 + N4) / 3) - 'WEEK 2'!N4 &lt; 0, "DECREASE", "NO CHANGE")))</f>
        <v>6 INCREASE</v>
      </c>
    </row>
    <row r="8" ht="16.5" customHeight="1">
      <c r="A8" s="24" t="s">
        <v>23</v>
      </c>
      <c r="B8" s="25" t="s">
        <v>15</v>
      </c>
      <c r="C8" s="26" t="s">
        <v>24</v>
      </c>
      <c r="D8" s="27"/>
      <c r="E8" s="25" t="s">
        <v>17</v>
      </c>
      <c r="F8" s="28">
        <v>160.0</v>
      </c>
      <c r="G8" s="28">
        <v>5.0</v>
      </c>
      <c r="H8" s="29">
        <f t="shared" si="1"/>
        <v>180.0180018</v>
      </c>
      <c r="I8" s="28">
        <v>150.0</v>
      </c>
      <c r="J8" s="28">
        <v>6.0</v>
      </c>
      <c r="K8" s="29">
        <f t="shared" si="2"/>
        <v>174.2160279</v>
      </c>
      <c r="L8" s="28">
        <v>145.0</v>
      </c>
      <c r="M8" s="28">
        <v>8.0</v>
      </c>
      <c r="N8" s="29">
        <f t="shared" si="3"/>
        <v>180.0347653</v>
      </c>
      <c r="O8" s="30">
        <f t="shared" si="4"/>
        <v>2860</v>
      </c>
      <c r="P8" s="31"/>
      <c r="Q8" s="32"/>
      <c r="R8" s="33" t="str">
        <f>IF(OR(ISBLANK(N8), ISBLANK('WEEK 1'!N8)), "", ROUNDUP(N8 - 'WEEK 1'!N8, 0) &amp; " " &amp; IF(N8 - 'WEEK 1'!N8 &gt; 0, "INCREASE", IF(N8 - 'WEEK 1'!N8 &lt; 0, "DECREASE", "NO CHANGE")))</f>
        <v>6 INCREASE</v>
      </c>
    </row>
    <row r="9" ht="16.5" customHeight="1">
      <c r="A9" s="24" t="s">
        <v>25</v>
      </c>
      <c r="B9" s="25" t="s">
        <v>15</v>
      </c>
      <c r="C9" s="26" t="s">
        <v>26</v>
      </c>
      <c r="D9" s="27"/>
      <c r="E9" s="25" t="s">
        <v>17</v>
      </c>
      <c r="F9" s="28">
        <v>130.0</v>
      </c>
      <c r="G9" s="28">
        <v>11.0</v>
      </c>
      <c r="H9" s="29">
        <f t="shared" si="1"/>
        <v>180.0554017</v>
      </c>
      <c r="I9" s="28">
        <v>145.0</v>
      </c>
      <c r="J9" s="28">
        <v>10.0</v>
      </c>
      <c r="K9" s="29">
        <f t="shared" si="2"/>
        <v>193.3849026</v>
      </c>
      <c r="L9" s="28">
        <v>150.0</v>
      </c>
      <c r="M9" s="28">
        <v>10.0</v>
      </c>
      <c r="N9" s="29">
        <f t="shared" si="3"/>
        <v>200.0533476</v>
      </c>
      <c r="O9" s="34">
        <f t="shared" si="4"/>
        <v>4380</v>
      </c>
      <c r="P9" s="35"/>
      <c r="Q9" s="36"/>
      <c r="R9" s="37" t="str">
        <f>IF(OR(ISBLANK(N9), ISBLANK('WEEK 1'!N9)), "", ROUNDUP(N9 - 'WEEK 1'!N9, 0) &amp; " " &amp; IF(N9 - 'WEEK 1'!N9 &gt; 0, "INCREASE", IF(N9 - 'WEEK 1'!N9 &lt; 0, "DECREASE", "NO CHANGE")))</f>
        <v>0 NO CHANGE</v>
      </c>
    </row>
    <row r="10" ht="16.5" customHeight="1">
      <c r="A10" s="17" t="s">
        <v>27</v>
      </c>
      <c r="B10" s="16" t="s">
        <v>6</v>
      </c>
      <c r="C10" s="16" t="s">
        <v>7</v>
      </c>
      <c r="D10" s="16" t="s">
        <v>8</v>
      </c>
      <c r="E10" s="16" t="s">
        <v>28</v>
      </c>
      <c r="F10" s="18" t="s">
        <v>10</v>
      </c>
      <c r="G10" s="18" t="s">
        <v>11</v>
      </c>
      <c r="H10" s="19" t="s">
        <v>12</v>
      </c>
      <c r="I10" s="18" t="s">
        <v>10</v>
      </c>
      <c r="J10" s="18" t="s">
        <v>11</v>
      </c>
      <c r="K10" s="19" t="s">
        <v>12</v>
      </c>
      <c r="L10" s="18" t="s">
        <v>10</v>
      </c>
      <c r="M10" s="18" t="s">
        <v>11</v>
      </c>
      <c r="N10" s="19" t="s">
        <v>12</v>
      </c>
      <c r="O10" s="39" t="s">
        <v>13</v>
      </c>
      <c r="P10" s="40"/>
      <c r="Q10" s="41"/>
      <c r="R10" s="33" t="str">
        <f>IF(OR(ISBLANK(N10), ISBLANK('WEEK 1'!N10)), "", ROUNDUP(N10 - 'WEEK 1'!N10, 0) &amp; " " &amp; IF(N10 - 'WEEK 1'!N10 &gt; 0, "INCREASE", IF(N10 - 'WEEK 1'!N10 &lt; 0, "DECREASE", "NO CHANGE")))</f>
        <v>#VALUE!</v>
      </c>
    </row>
    <row r="11" ht="15.75" customHeight="1">
      <c r="A11" s="24" t="s">
        <v>29</v>
      </c>
      <c r="B11" s="25" t="s">
        <v>15</v>
      </c>
      <c r="C11" s="26" t="s">
        <v>22</v>
      </c>
      <c r="D11" s="27"/>
      <c r="E11" s="25" t="s">
        <v>17</v>
      </c>
      <c r="F11" s="28">
        <v>145.0</v>
      </c>
      <c r="G11" s="28">
        <v>10.0</v>
      </c>
      <c r="H11" s="29">
        <f t="shared" ref="H11:H16" si="5">F11/(1.0278-(0.0278*G11))</f>
        <v>193.3849026</v>
      </c>
      <c r="I11" s="28">
        <v>145.0</v>
      </c>
      <c r="J11" s="28">
        <v>10.0</v>
      </c>
      <c r="K11" s="29">
        <f t="shared" ref="K11:K16" si="6">I11/(1.0278-(0.0278*J11))</f>
        <v>193.3849026</v>
      </c>
      <c r="L11" s="28">
        <v>160.0</v>
      </c>
      <c r="M11" s="28">
        <v>12.0</v>
      </c>
      <c r="N11" s="29">
        <f t="shared" ref="N11:N16" si="7">L11/(1.0278-(0.0278*M11))</f>
        <v>230.4811294</v>
      </c>
      <c r="O11" s="34">
        <f t="shared" ref="O11:O16" si="8">+F11*G11+I11*J11+L11*M11</f>
        <v>4820</v>
      </c>
      <c r="P11" s="35"/>
      <c r="Q11" s="36"/>
      <c r="R11" s="37" t="str">
        <f>IF(OR(ISBLANK(N11), ISBLANK('WEEK 1'!N11)), "", ROUNDUP(N11 - 'WEEK 1'!N11, 0) &amp; " " &amp; IF(N11 - 'WEEK 1'!N11 &gt; 0, "INCREASE", IF(N11 - 'WEEK 1'!N11 &lt; 0, "DECREASE", "NO CHANGE")))</f>
        <v>38 INCREASE</v>
      </c>
    </row>
    <row r="12" ht="15.75" customHeight="1">
      <c r="A12" s="24" t="s">
        <v>30</v>
      </c>
      <c r="B12" s="25" t="s">
        <v>15</v>
      </c>
      <c r="C12" s="26" t="s">
        <v>16</v>
      </c>
      <c r="D12" s="27"/>
      <c r="E12" s="25" t="s">
        <v>17</v>
      </c>
      <c r="F12" s="28">
        <v>40.0</v>
      </c>
      <c r="G12" s="28">
        <v>6.0</v>
      </c>
      <c r="H12" s="29">
        <f t="shared" si="5"/>
        <v>46.45760743</v>
      </c>
      <c r="I12" s="38"/>
      <c r="J12" s="38"/>
      <c r="K12" s="29">
        <f t="shared" si="6"/>
        <v>0</v>
      </c>
      <c r="L12" s="38"/>
      <c r="M12" s="38"/>
      <c r="N12" s="29">
        <f t="shared" si="7"/>
        <v>0</v>
      </c>
      <c r="O12" s="30">
        <f t="shared" si="8"/>
        <v>240</v>
      </c>
      <c r="P12" s="31"/>
      <c r="Q12" s="32"/>
      <c r="R12" s="33" t="str">
        <f>IF(OR(ISBLANK(N12), ISBLANK('WEEK 1'!N12)), "", ROUNDUP(N12 - 'WEEK 1'!N12, 0) &amp; " " &amp; IF(N12 - 'WEEK 1'!N12 &gt; 0, "INCREASE", IF(N12 - 'WEEK 1'!N12 &lt; 0, "DECREASE", "NO CHANGE")))</f>
        <v>0 NO CHANGE</v>
      </c>
    </row>
    <row r="13" ht="15.75" customHeight="1">
      <c r="A13" s="24" t="s">
        <v>31</v>
      </c>
      <c r="B13" s="25" t="s">
        <v>15</v>
      </c>
      <c r="C13" s="26" t="s">
        <v>22</v>
      </c>
      <c r="D13" s="27"/>
      <c r="E13" s="25" t="s">
        <v>17</v>
      </c>
      <c r="F13" s="28">
        <v>125.0</v>
      </c>
      <c r="G13" s="28">
        <v>12.0</v>
      </c>
      <c r="H13" s="29">
        <f t="shared" si="5"/>
        <v>180.0633823</v>
      </c>
      <c r="I13" s="28">
        <v>125.0</v>
      </c>
      <c r="J13" s="28">
        <v>8.0</v>
      </c>
      <c r="K13" s="29">
        <f t="shared" si="6"/>
        <v>155.2023839</v>
      </c>
      <c r="L13" s="28">
        <v>125.0</v>
      </c>
      <c r="M13" s="28">
        <v>7.0</v>
      </c>
      <c r="N13" s="29">
        <f t="shared" si="7"/>
        <v>150.0240038</v>
      </c>
      <c r="O13" s="34">
        <f t="shared" si="8"/>
        <v>3375</v>
      </c>
      <c r="P13" s="35"/>
      <c r="Q13" s="36"/>
      <c r="R13" s="37" t="str">
        <f>IF(OR(ISBLANK(N13), ISBLANK('WEEK 1'!N13)), "", ROUNDUP(N13 - 'WEEK 1'!N13, 0) &amp; " " &amp; IF(N13 - 'WEEK 1'!N13 &gt; 0, "INCREASE", IF(N13 - 'WEEK 1'!N13 &lt; 0, "DECREASE", "NO CHANGE")))</f>
        <v>9 INCREASE</v>
      </c>
    </row>
    <row r="14" ht="15.75" customHeight="1">
      <c r="A14" s="24" t="s">
        <v>32</v>
      </c>
      <c r="B14" s="44" t="s">
        <v>15</v>
      </c>
      <c r="C14" s="26" t="s">
        <v>22</v>
      </c>
      <c r="D14" s="45"/>
      <c r="E14" s="25" t="s">
        <v>17</v>
      </c>
      <c r="F14" s="38"/>
      <c r="G14" s="38"/>
      <c r="H14" s="29">
        <f t="shared" si="5"/>
        <v>0</v>
      </c>
      <c r="I14" s="38"/>
      <c r="J14" s="38"/>
      <c r="K14" s="29">
        <f t="shared" si="6"/>
        <v>0</v>
      </c>
      <c r="L14" s="38"/>
      <c r="M14" s="38"/>
      <c r="N14" s="29">
        <f t="shared" si="7"/>
        <v>0</v>
      </c>
      <c r="O14" s="30">
        <f t="shared" si="8"/>
        <v>0</v>
      </c>
      <c r="P14" s="31"/>
      <c r="Q14" s="32"/>
      <c r="R14" s="33" t="str">
        <f>IF(OR(ISBLANK(N14), ISBLANK('WEEK 1'!N14)), "", ROUNDUP(N14 - 'WEEK 1'!N14, 0) &amp; " " &amp; IF(N14 - 'WEEK 1'!N14 &gt; 0, "INCREASE", IF(N14 - 'WEEK 1'!N14 &lt; 0, "DECREASE", "NO CHANGE")))</f>
        <v>-181 DECREASE</v>
      </c>
    </row>
    <row r="15" ht="15.75" customHeight="1">
      <c r="A15" s="24" t="s">
        <v>33</v>
      </c>
      <c r="B15" s="25" t="s">
        <v>15</v>
      </c>
      <c r="C15" s="26" t="s">
        <v>22</v>
      </c>
      <c r="D15" s="45"/>
      <c r="E15" s="25" t="s">
        <v>17</v>
      </c>
      <c r="F15" s="28">
        <v>110.0</v>
      </c>
      <c r="G15" s="28">
        <v>15.0</v>
      </c>
      <c r="H15" s="29">
        <f t="shared" si="5"/>
        <v>180.091683</v>
      </c>
      <c r="I15" s="28">
        <v>110.0</v>
      </c>
      <c r="J15" s="28">
        <v>12.0</v>
      </c>
      <c r="K15" s="29">
        <f t="shared" si="6"/>
        <v>158.4557764</v>
      </c>
      <c r="L15" s="28">
        <v>110.0</v>
      </c>
      <c r="M15" s="28">
        <v>13.0</v>
      </c>
      <c r="N15" s="29">
        <f t="shared" si="7"/>
        <v>165.0660264</v>
      </c>
      <c r="O15" s="34">
        <f t="shared" si="8"/>
        <v>4400</v>
      </c>
      <c r="P15" s="35"/>
      <c r="Q15" s="36"/>
      <c r="R15" s="37" t="str">
        <f>IF(OR(ISBLANK(N15), ISBLANK('WEEK 1'!N15)), "", ROUNDUP(N15 - 'WEEK 1'!N15, 0) &amp; " " &amp; IF(N15 - 'WEEK 1'!N15 &gt; 0, "INCREASE", IF(N15 - 'WEEK 1'!N15 &lt; 0, "DECREASE", "NO CHANGE")))</f>
        <v>19 INCREASE</v>
      </c>
    </row>
    <row r="16" ht="15.75" customHeight="1">
      <c r="A16" s="24" t="s">
        <v>34</v>
      </c>
      <c r="B16" s="25" t="s">
        <v>15</v>
      </c>
      <c r="C16" s="26" t="s">
        <v>16</v>
      </c>
      <c r="D16" s="45"/>
      <c r="E16" s="46">
        <v>60.0</v>
      </c>
      <c r="F16" s="28">
        <v>87.5</v>
      </c>
      <c r="G16" s="28">
        <v>10.0</v>
      </c>
      <c r="H16" s="29">
        <f t="shared" si="5"/>
        <v>116.6977861</v>
      </c>
      <c r="I16" s="28">
        <v>80.0</v>
      </c>
      <c r="J16" s="28">
        <v>13.0</v>
      </c>
      <c r="K16" s="29">
        <f t="shared" si="6"/>
        <v>120.0480192</v>
      </c>
      <c r="L16" s="28">
        <v>80.0</v>
      </c>
      <c r="M16" s="28">
        <v>12.0</v>
      </c>
      <c r="N16" s="29">
        <f t="shared" si="7"/>
        <v>115.2405647</v>
      </c>
      <c r="O16" s="30">
        <f t="shared" si="8"/>
        <v>2875</v>
      </c>
      <c r="P16" s="31"/>
      <c r="Q16" s="32"/>
      <c r="R16" s="33" t="str">
        <f>IF(OR(ISBLANK(N16), ISBLANK('WEEK 1'!N16)), "", ROUNDUP(N16 - 'WEEK 1'!N16, 0) &amp; " " &amp; IF(N16 - 'WEEK 1'!N16 &gt; 0, "INCREASE", IF(N16 - 'WEEK 1'!N16 &lt; 0, "DECREASE", "NO CHANGE")))</f>
        <v>116 INCREASE</v>
      </c>
    </row>
    <row r="17" ht="16.5" customHeight="1">
      <c r="A17" s="15" t="s">
        <v>35</v>
      </c>
      <c r="B17" s="16" t="s">
        <v>6</v>
      </c>
      <c r="C17" s="16" t="s">
        <v>7</v>
      </c>
      <c r="D17" s="16" t="s">
        <v>8</v>
      </c>
      <c r="E17" s="16" t="s">
        <v>28</v>
      </c>
      <c r="F17" s="18" t="s">
        <v>10</v>
      </c>
      <c r="G17" s="18" t="s">
        <v>11</v>
      </c>
      <c r="H17" s="19" t="s">
        <v>12</v>
      </c>
      <c r="I17" s="18" t="s">
        <v>10</v>
      </c>
      <c r="J17" s="18" t="s">
        <v>11</v>
      </c>
      <c r="K17" s="19" t="s">
        <v>12</v>
      </c>
      <c r="L17" s="18" t="s">
        <v>10</v>
      </c>
      <c r="M17" s="18" t="s">
        <v>11</v>
      </c>
      <c r="N17" s="19" t="s">
        <v>12</v>
      </c>
      <c r="O17" s="47" t="s">
        <v>13</v>
      </c>
      <c r="P17" s="48"/>
      <c r="Q17" s="49"/>
      <c r="R17" s="37" t="str">
        <f>IF(OR(ISBLANK(N17), ISBLANK('WEEK 1'!N17)), "", ROUNDUP(N17 - 'WEEK 1'!N17, 0) &amp; " " &amp; IF(N17 - 'WEEK 1'!N17 &gt; 0, "INCREASE", IF(N17 - 'WEEK 1'!N17 &lt; 0, "DECREASE", "NO CHANGE")))</f>
        <v>#VALUE!</v>
      </c>
    </row>
    <row r="18" ht="16.5" customHeight="1">
      <c r="A18" s="50" t="s">
        <v>36</v>
      </c>
      <c r="B18" s="27"/>
      <c r="C18" s="27"/>
      <c r="D18" s="27"/>
      <c r="E18" s="27"/>
      <c r="F18" s="38"/>
      <c r="G18" s="38"/>
      <c r="H18" s="29">
        <f>F18/(1.0278-(0.0278*G18))</f>
        <v>0</v>
      </c>
      <c r="I18" s="38"/>
      <c r="J18" s="38"/>
      <c r="K18" s="29">
        <f>I18/(1.0278-(0.0278*J18))</f>
        <v>0</v>
      </c>
      <c r="L18" s="38"/>
      <c r="M18" s="38"/>
      <c r="N18" s="29">
        <f>L18/(1.0278-(0.0278*M18))</f>
        <v>0</v>
      </c>
      <c r="O18" s="51" t="str">
        <f>+F18*G18+I18*J18+L18*M18+#REF!*#REF!+#REF!*#REF!</f>
        <v>#REF!</v>
      </c>
      <c r="P18" s="52"/>
      <c r="Q18" s="53"/>
      <c r="R18" s="33" t="str">
        <f>IF(OR(ISBLANK(N18), ISBLANK('WEEK 1'!N18)), "", ROUNDUP(N18 - 'WEEK 1'!N18, 0) &amp; " " &amp; IF(N18 - 'WEEK 1'!N18 &gt; 0, "INCREASE", IF(N18 - 'WEEK 1'!N18 &lt; 0, "DECREASE", "NO CHANGE")))</f>
        <v>0 NO CHANGE</v>
      </c>
    </row>
    <row r="19" ht="16.5" customHeight="1">
      <c r="A19" s="15" t="s">
        <v>37</v>
      </c>
      <c r="B19" s="16" t="s">
        <v>6</v>
      </c>
      <c r="C19" s="16" t="s">
        <v>7</v>
      </c>
      <c r="D19" s="16" t="s">
        <v>8</v>
      </c>
      <c r="E19" s="16" t="s">
        <v>28</v>
      </c>
      <c r="F19" s="18" t="s">
        <v>10</v>
      </c>
      <c r="G19" s="18" t="s">
        <v>11</v>
      </c>
      <c r="H19" s="19" t="s">
        <v>12</v>
      </c>
      <c r="I19" s="18" t="s">
        <v>10</v>
      </c>
      <c r="J19" s="18" t="s">
        <v>11</v>
      </c>
      <c r="K19" s="19" t="s">
        <v>12</v>
      </c>
      <c r="L19" s="18" t="s">
        <v>10</v>
      </c>
      <c r="M19" s="18" t="s">
        <v>11</v>
      </c>
      <c r="N19" s="19" t="s">
        <v>12</v>
      </c>
      <c r="O19" s="54" t="s">
        <v>13</v>
      </c>
      <c r="P19" s="55"/>
      <c r="Q19" s="56"/>
      <c r="R19" s="37" t="str">
        <f>IF(OR(ISBLANK(N19), ISBLANK('WEEK 1'!N19)), "", ROUNDUP(N19 - 'WEEK 1'!N19, 0) &amp; " " &amp; IF(N19 - 'WEEK 1'!N19 &gt; 0, "INCREASE", IF(N19 - 'WEEK 1'!N19 &lt; 0, "DECREASE", "NO CHANGE")))</f>
        <v>#VALUE!</v>
      </c>
    </row>
    <row r="20" ht="16.5" customHeight="1">
      <c r="A20" s="24" t="s">
        <v>38</v>
      </c>
      <c r="B20" s="25" t="s">
        <v>15</v>
      </c>
      <c r="C20" s="25" t="s">
        <v>39</v>
      </c>
      <c r="D20" s="27"/>
      <c r="E20" s="25" t="s">
        <v>17</v>
      </c>
      <c r="F20" s="38"/>
      <c r="G20" s="38"/>
      <c r="H20" s="29">
        <f t="shared" ref="H20:H24" si="9">F20/(1.0278-(0.0278*G20))</f>
        <v>0</v>
      </c>
      <c r="I20" s="38"/>
      <c r="J20" s="38"/>
      <c r="K20" s="29">
        <f t="shared" ref="K20:K24" si="10">I20/(1.0278-(0.0278*J20))</f>
        <v>0</v>
      </c>
      <c r="L20" s="38"/>
      <c r="M20" s="38"/>
      <c r="N20" s="29">
        <f t="shared" ref="N20:N24" si="11">L20/(1.0278-(0.0278*M20))</f>
        <v>0</v>
      </c>
      <c r="O20" s="30">
        <f t="shared" ref="O20:O24" si="12">+F20*G20+I20*J20+L20*M20</f>
        <v>0</v>
      </c>
      <c r="P20" s="31"/>
      <c r="Q20" s="32"/>
      <c r="R20" s="33" t="str">
        <f>IF(OR(ISBLANK(N20), ISBLANK('WEEK 1'!N20)), "", ROUNDUP(N20 - 'WEEK 1'!N20, 0) &amp; " " &amp; IF(N20 - 'WEEK 1'!N20 &gt; 0, "INCREASE", IF(N20 - 'WEEK 1'!N20 &lt; 0, "DECREASE", "NO CHANGE")))</f>
        <v>-181 DECREASE</v>
      </c>
    </row>
    <row r="21" ht="15.75" customHeight="1">
      <c r="A21" s="24" t="s">
        <v>40</v>
      </c>
      <c r="B21" s="25" t="s">
        <v>15</v>
      </c>
      <c r="C21" s="25" t="s">
        <v>39</v>
      </c>
      <c r="D21" s="27"/>
      <c r="E21" s="25" t="s">
        <v>17</v>
      </c>
      <c r="F21" s="38"/>
      <c r="G21" s="38"/>
      <c r="H21" s="29">
        <f t="shared" si="9"/>
        <v>0</v>
      </c>
      <c r="I21" s="38"/>
      <c r="J21" s="38"/>
      <c r="K21" s="29">
        <f t="shared" si="10"/>
        <v>0</v>
      </c>
      <c r="L21" s="38"/>
      <c r="M21" s="38"/>
      <c r="N21" s="29">
        <f t="shared" si="11"/>
        <v>0</v>
      </c>
      <c r="O21" s="34">
        <f t="shared" si="12"/>
        <v>0</v>
      </c>
      <c r="P21" s="35"/>
      <c r="Q21" s="36"/>
      <c r="R21" s="37" t="str">
        <f>IF(OR(ISBLANK(N21), ISBLANK('WEEK 1'!N21)), "", ROUNDUP(N21 - 'WEEK 1'!N21, 0) &amp; " " &amp; IF(N21 - 'WEEK 1'!N21 &gt; 0, "INCREASE", IF(N21 - 'WEEK 1'!N21 &lt; 0, "DECREASE", "NO CHANGE")))</f>
        <v>-46 DECREASE</v>
      </c>
    </row>
    <row r="22" ht="15.75" customHeight="1">
      <c r="A22" s="24" t="s">
        <v>41</v>
      </c>
      <c r="B22" s="44" t="s">
        <v>15</v>
      </c>
      <c r="C22" s="25" t="s">
        <v>39</v>
      </c>
      <c r="D22" s="27"/>
      <c r="E22" s="25" t="s">
        <v>17</v>
      </c>
      <c r="F22" s="38"/>
      <c r="G22" s="38"/>
      <c r="H22" s="29">
        <f t="shared" si="9"/>
        <v>0</v>
      </c>
      <c r="I22" s="38"/>
      <c r="J22" s="38"/>
      <c r="K22" s="29">
        <f t="shared" si="10"/>
        <v>0</v>
      </c>
      <c r="L22" s="38"/>
      <c r="M22" s="38"/>
      <c r="N22" s="29">
        <f t="shared" si="11"/>
        <v>0</v>
      </c>
      <c r="O22" s="30">
        <f t="shared" si="12"/>
        <v>0</v>
      </c>
      <c r="P22" s="31"/>
      <c r="Q22" s="32"/>
      <c r="R22" s="33" t="str">
        <f>IF(OR(ISBLANK(N22), ISBLANK('WEEK 1'!N22)), "", ROUNDUP(N22 - 'WEEK 1'!N22, 0) &amp; " " &amp; IF(N22 - 'WEEK 1'!N22 &gt; 0, "INCREASE", IF(N22 - 'WEEK 1'!N22 &lt; 0, "DECREASE", "NO CHANGE")))</f>
        <v>-37 DECREASE</v>
      </c>
    </row>
    <row r="23" ht="16.5" customHeight="1">
      <c r="A23" s="24" t="s">
        <v>21</v>
      </c>
      <c r="B23" s="44" t="s">
        <v>15</v>
      </c>
      <c r="C23" s="25" t="s">
        <v>39</v>
      </c>
      <c r="D23" s="27"/>
      <c r="E23" s="25" t="s">
        <v>17</v>
      </c>
      <c r="F23" s="38"/>
      <c r="G23" s="38"/>
      <c r="H23" s="29">
        <f t="shared" si="9"/>
        <v>0</v>
      </c>
      <c r="I23" s="38"/>
      <c r="J23" s="38"/>
      <c r="K23" s="29">
        <f t="shared" si="10"/>
        <v>0</v>
      </c>
      <c r="L23" s="38"/>
      <c r="M23" s="38"/>
      <c r="N23" s="29">
        <f t="shared" si="11"/>
        <v>0</v>
      </c>
      <c r="O23" s="34">
        <f t="shared" si="12"/>
        <v>0</v>
      </c>
      <c r="P23" s="35"/>
      <c r="Q23" s="36"/>
      <c r="R23" s="37" t="str">
        <f>IF(OR(ISBLANK(N23), ISBLANK('WEEK 1'!N23)), "", ROUNDUP(N23 - 'WEEK 1'!N23, 0) &amp; " " &amp; IF(N23 - 'WEEK 1'!N23 &gt; 0, "INCREASE", IF(N23 - 'WEEK 1'!N23 &lt; 0, "DECREASE", "NO CHANGE")))</f>
        <v>-54 DECREASE</v>
      </c>
    </row>
    <row r="24" ht="15.75" customHeight="1">
      <c r="A24" s="24" t="s">
        <v>31</v>
      </c>
      <c r="B24" s="25" t="s">
        <v>15</v>
      </c>
      <c r="C24" s="25" t="s">
        <v>39</v>
      </c>
      <c r="D24" s="27"/>
      <c r="E24" s="25" t="s">
        <v>17</v>
      </c>
      <c r="F24" s="38"/>
      <c r="G24" s="38"/>
      <c r="H24" s="29">
        <f t="shared" si="9"/>
        <v>0</v>
      </c>
      <c r="I24" s="38"/>
      <c r="J24" s="38"/>
      <c r="K24" s="29">
        <f t="shared" si="10"/>
        <v>0</v>
      </c>
      <c r="L24" s="38"/>
      <c r="M24" s="38"/>
      <c r="N24" s="29">
        <f t="shared" si="11"/>
        <v>0</v>
      </c>
      <c r="O24" s="30">
        <f t="shared" si="12"/>
        <v>0</v>
      </c>
      <c r="P24" s="31"/>
      <c r="Q24" s="32"/>
      <c r="R24" s="33" t="str">
        <f>IF(OR(ISBLANK(N24), ISBLANK('WEEK 1'!N24)), "", ROUNDUP(N24 - 'WEEK 1'!N24, 0) &amp; " " &amp; IF(N24 - 'WEEK 1'!N24 &gt; 0, "INCREASE", IF(N24 - 'WEEK 1'!N24 &lt; 0, "DECREASE", "NO CHANGE")))</f>
        <v>-147 DECREASE</v>
      </c>
    </row>
    <row r="25" ht="15.0" customHeight="1">
      <c r="A25" s="15" t="s">
        <v>42</v>
      </c>
      <c r="B25" s="16" t="s">
        <v>6</v>
      </c>
      <c r="C25" s="16" t="s">
        <v>7</v>
      </c>
      <c r="D25" s="16" t="s">
        <v>8</v>
      </c>
      <c r="E25" s="16" t="s">
        <v>28</v>
      </c>
      <c r="F25" s="18" t="s">
        <v>10</v>
      </c>
      <c r="G25" s="18" t="s">
        <v>11</v>
      </c>
      <c r="H25" s="19" t="s">
        <v>12</v>
      </c>
      <c r="I25" s="18" t="s">
        <v>10</v>
      </c>
      <c r="J25" s="18" t="s">
        <v>11</v>
      </c>
      <c r="K25" s="19" t="s">
        <v>12</v>
      </c>
      <c r="L25" s="18" t="s">
        <v>10</v>
      </c>
      <c r="M25" s="18" t="s">
        <v>11</v>
      </c>
      <c r="N25" s="19" t="s">
        <v>12</v>
      </c>
      <c r="O25" s="47" t="s">
        <v>13</v>
      </c>
      <c r="P25" s="48"/>
      <c r="Q25" s="49"/>
      <c r="R25" s="37" t="str">
        <f>IF(OR(ISBLANK(N25), ISBLANK('WEEK 1'!N25)), "", ROUNDUP(N25 - 'WEEK 1'!N25, 0) &amp; " " &amp; IF(N25 - 'WEEK 1'!N25 &gt; 0, "INCREASE", IF(N25 - 'WEEK 1'!N25 &lt; 0, "DECREASE", "NO CHANGE")))</f>
        <v>#VALUE!</v>
      </c>
    </row>
    <row r="26" ht="15.0" customHeight="1">
      <c r="A26" s="24" t="s">
        <v>56</v>
      </c>
      <c r="B26" s="25" t="s">
        <v>15</v>
      </c>
      <c r="C26" s="26" t="s">
        <v>22</v>
      </c>
      <c r="D26" s="27"/>
      <c r="E26" s="25" t="s">
        <v>17</v>
      </c>
      <c r="F26" s="28">
        <v>170.0</v>
      </c>
      <c r="G26" s="28">
        <v>12.0</v>
      </c>
      <c r="H26" s="29">
        <f t="shared" ref="H26:H31" si="13">F26/(1.0278-(0.0278*G26))</f>
        <v>244.8861999</v>
      </c>
      <c r="I26" s="28">
        <v>190.0</v>
      </c>
      <c r="J26" s="28">
        <v>13.0</v>
      </c>
      <c r="K26" s="29">
        <f t="shared" ref="K26:K31" si="14">I26/(1.0278-(0.0278*J26))</f>
        <v>285.1140456</v>
      </c>
      <c r="L26" s="28">
        <v>250.0</v>
      </c>
      <c r="M26" s="28">
        <v>9.0</v>
      </c>
      <c r="N26" s="29">
        <f t="shared" ref="N26:N31" si="15">L26/(1.0278-(0.0278*M26))</f>
        <v>321.5020576</v>
      </c>
      <c r="O26" s="30">
        <f t="shared" ref="O26:O31" si="16">+F26*G26+I26*J26+L26*M26</f>
        <v>6760</v>
      </c>
      <c r="P26" s="31"/>
      <c r="Q26" s="32"/>
      <c r="R26" s="33" t="str">
        <f>IF(OR(ISBLANK(N26), ISBLANK('WEEK 1'!N26)), "", ROUNDUP(N26 - 'WEEK 1'!N26, 0) &amp; " " &amp; IF(N26 - 'WEEK 1'!N26 &gt; 0, "INCREASE", IF(N26 - 'WEEK 1'!N26 &lt; 0, "DECREASE", "NO CHANGE")))</f>
        <v>223 INCREASE</v>
      </c>
    </row>
    <row r="27" ht="15.0" customHeight="1">
      <c r="A27" s="24" t="s">
        <v>44</v>
      </c>
      <c r="B27" s="25" t="s">
        <v>15</v>
      </c>
      <c r="C27" s="26" t="s">
        <v>19</v>
      </c>
      <c r="D27" s="27"/>
      <c r="E27" s="25" t="s">
        <v>17</v>
      </c>
      <c r="F27" s="28">
        <v>120.0</v>
      </c>
      <c r="G27" s="28">
        <v>10.0</v>
      </c>
      <c r="H27" s="29">
        <f t="shared" si="13"/>
        <v>160.042678</v>
      </c>
      <c r="I27" s="28">
        <v>120.0</v>
      </c>
      <c r="J27" s="28">
        <v>10.0</v>
      </c>
      <c r="K27" s="29">
        <f t="shared" si="14"/>
        <v>160.042678</v>
      </c>
      <c r="L27" s="28">
        <v>120.0</v>
      </c>
      <c r="M27" s="28">
        <v>10.0</v>
      </c>
      <c r="N27" s="29">
        <f t="shared" si="15"/>
        <v>160.042678</v>
      </c>
      <c r="O27" s="34">
        <f t="shared" si="16"/>
        <v>3600</v>
      </c>
      <c r="P27" s="35"/>
      <c r="Q27" s="36"/>
      <c r="R27" s="37" t="str">
        <f>IF(OR(ISBLANK(N27), ISBLANK('WEEK 1'!N27)), "", ROUNDUP(N27 - 'WEEK 1'!N27, 0) &amp; " " &amp; IF(N27 - 'WEEK 1'!N27 &gt; 0, "INCREASE", IF(N27 - 'WEEK 1'!N27 &lt; 0, "DECREASE", "NO CHANGE")))</f>
        <v>-34 DECREASE</v>
      </c>
    </row>
    <row r="28" ht="15.0" customHeight="1">
      <c r="A28" s="24" t="s">
        <v>45</v>
      </c>
      <c r="B28" s="25" t="s">
        <v>15</v>
      </c>
      <c r="C28" s="26" t="s">
        <v>46</v>
      </c>
      <c r="D28" s="27"/>
      <c r="E28" s="25" t="s">
        <v>17</v>
      </c>
      <c r="F28" s="28">
        <v>0.0</v>
      </c>
      <c r="G28" s="28">
        <v>10.0</v>
      </c>
      <c r="H28" s="29">
        <f t="shared" si="13"/>
        <v>0</v>
      </c>
      <c r="I28" s="28">
        <v>35.0</v>
      </c>
      <c r="J28" s="28">
        <v>10.0</v>
      </c>
      <c r="K28" s="29">
        <f t="shared" si="14"/>
        <v>46.67911443</v>
      </c>
      <c r="L28" s="28">
        <v>35.0</v>
      </c>
      <c r="M28" s="28">
        <v>10.0</v>
      </c>
      <c r="N28" s="29">
        <f t="shared" si="15"/>
        <v>46.67911443</v>
      </c>
      <c r="O28" s="30">
        <f t="shared" si="16"/>
        <v>700</v>
      </c>
      <c r="P28" s="31"/>
      <c r="Q28" s="32"/>
      <c r="R28" s="33" t="str">
        <f>IF(OR(ISBLANK(N28), ISBLANK('WEEK 1'!N28)), "", ROUNDUP(N28 - 'WEEK 1'!N28, 0) &amp; " " &amp; IF(N28 - 'WEEK 1'!N28 &gt; 0, "INCREASE", IF(N28 - 'WEEK 1'!N28 &lt; 0, "DECREASE", "NO CHANGE")))</f>
        <v>11 INCREASE</v>
      </c>
    </row>
    <row r="29" ht="15.0" customHeight="1">
      <c r="A29" s="24" t="s">
        <v>47</v>
      </c>
      <c r="B29" s="25" t="s">
        <v>15</v>
      </c>
      <c r="C29" s="26" t="s">
        <v>19</v>
      </c>
      <c r="D29" s="27"/>
      <c r="E29" s="25" t="s">
        <v>17</v>
      </c>
      <c r="F29" s="28">
        <v>160.0</v>
      </c>
      <c r="G29" s="28">
        <v>10.0</v>
      </c>
      <c r="H29" s="29">
        <f t="shared" si="13"/>
        <v>213.3902374</v>
      </c>
      <c r="I29" s="28">
        <v>160.0</v>
      </c>
      <c r="J29" s="28">
        <v>8.0</v>
      </c>
      <c r="K29" s="29">
        <f t="shared" si="14"/>
        <v>198.6590514</v>
      </c>
      <c r="L29" s="28">
        <v>160.0</v>
      </c>
      <c r="M29" s="28">
        <v>10.0</v>
      </c>
      <c r="N29" s="29">
        <f t="shared" si="15"/>
        <v>213.3902374</v>
      </c>
      <c r="O29" s="34">
        <f t="shared" si="16"/>
        <v>4480</v>
      </c>
      <c r="P29" s="35"/>
      <c r="Q29" s="36"/>
      <c r="R29" s="37" t="str">
        <f>IF(OR(ISBLANK(N29), ISBLANK('WEEK 1'!N29)), "", ROUNDUP(N29 - 'WEEK 1'!N29, 0) &amp; " " &amp; IF(N29 - 'WEEK 1'!N29 &gt; 0, "INCREASE", IF(N29 - 'WEEK 1'!N29 &lt; 0, "DECREASE", "NO CHANGE")))</f>
        <v>8 INCREASE</v>
      </c>
    </row>
    <row r="30" ht="15.0" customHeight="1">
      <c r="A30" s="24" t="s">
        <v>48</v>
      </c>
      <c r="B30" s="25" t="s">
        <v>15</v>
      </c>
      <c r="C30" s="26" t="s">
        <v>19</v>
      </c>
      <c r="D30" s="27"/>
      <c r="E30" s="25" t="s">
        <v>17</v>
      </c>
      <c r="F30" s="28">
        <v>250.0</v>
      </c>
      <c r="G30" s="28">
        <v>12.0</v>
      </c>
      <c r="H30" s="29">
        <f t="shared" si="13"/>
        <v>360.1267646</v>
      </c>
      <c r="I30" s="28">
        <v>250.0</v>
      </c>
      <c r="J30" s="28">
        <v>12.0</v>
      </c>
      <c r="K30" s="29">
        <f t="shared" si="14"/>
        <v>360.1267646</v>
      </c>
      <c r="L30" s="28">
        <v>250.0</v>
      </c>
      <c r="M30" s="28">
        <v>10.0</v>
      </c>
      <c r="N30" s="29">
        <f t="shared" si="15"/>
        <v>333.4222459</v>
      </c>
      <c r="O30" s="30">
        <f t="shared" si="16"/>
        <v>8500</v>
      </c>
      <c r="P30" s="31"/>
      <c r="Q30" s="32"/>
      <c r="R30" s="33" t="str">
        <f>IF(OR(ISBLANK(N30), ISBLANK('WEEK 1'!N30)), "", ROUNDUP(N30 - 'WEEK 1'!N30, 0) &amp; " " &amp; IF(N30 - 'WEEK 1'!N30 &gt; 0, "INCREASE", IF(N30 - 'WEEK 1'!N30 &lt; 0, "DECREASE", "NO CHANGE")))</f>
        <v>17 INCREASE</v>
      </c>
    </row>
    <row r="31" ht="15.0" customHeight="1">
      <c r="A31" s="24" t="s">
        <v>57</v>
      </c>
      <c r="B31" s="25" t="s">
        <v>15</v>
      </c>
      <c r="C31" s="26" t="s">
        <v>19</v>
      </c>
      <c r="D31" s="27"/>
      <c r="E31" s="25" t="s">
        <v>17</v>
      </c>
      <c r="F31" s="28">
        <v>10.0</v>
      </c>
      <c r="G31" s="28">
        <v>10.0</v>
      </c>
      <c r="H31" s="29">
        <f t="shared" si="13"/>
        <v>13.33688984</v>
      </c>
      <c r="I31" s="28">
        <v>10.0</v>
      </c>
      <c r="J31" s="28">
        <v>10.0</v>
      </c>
      <c r="K31" s="29">
        <f t="shared" si="14"/>
        <v>13.33688984</v>
      </c>
      <c r="L31" s="28">
        <v>10.0</v>
      </c>
      <c r="M31" s="28">
        <v>10.0</v>
      </c>
      <c r="N31" s="29">
        <f t="shared" si="15"/>
        <v>13.33688984</v>
      </c>
      <c r="O31" s="34">
        <f t="shared" si="16"/>
        <v>300</v>
      </c>
      <c r="P31" s="35"/>
      <c r="Q31" s="36"/>
      <c r="R31" s="37" t="str">
        <f>IF(OR(ISBLANK(N31), ISBLANK('WEEK 1'!N31)), "", ROUNDUP(N31 - 'WEEK 1'!N31, 0) &amp; " " &amp; IF(N31 - 'WEEK 1'!N31 &gt; 0, "INCREASE", IF(N31 - 'WEEK 1'!N31 &lt; 0, "DECREASE", "NO CHANGE")))</f>
        <v>-410 DECREASE</v>
      </c>
    </row>
  </sheetData>
  <mergeCells count="35">
    <mergeCell ref="A1:E2"/>
    <mergeCell ref="F1:R1"/>
    <mergeCell ref="F2:H2"/>
    <mergeCell ref="I2:K2"/>
    <mergeCell ref="L2:N2"/>
    <mergeCell ref="O2:Q2"/>
    <mergeCell ref="O3:Q3"/>
    <mergeCell ref="O4:Q4"/>
    <mergeCell ref="O5:Q5"/>
    <mergeCell ref="O6:Q6"/>
    <mergeCell ref="O7:Q7"/>
    <mergeCell ref="O8:Q8"/>
    <mergeCell ref="O9:Q9"/>
    <mergeCell ref="O10:Q10"/>
    <mergeCell ref="O11:Q11"/>
    <mergeCell ref="O12:Q12"/>
    <mergeCell ref="O13:Q13"/>
    <mergeCell ref="O14:Q14"/>
    <mergeCell ref="O15:Q15"/>
    <mergeCell ref="O16:Q16"/>
    <mergeCell ref="O17:Q17"/>
    <mergeCell ref="O25:Q25"/>
    <mergeCell ref="O26:Q26"/>
    <mergeCell ref="O27:Q27"/>
    <mergeCell ref="O28:Q28"/>
    <mergeCell ref="O29:Q29"/>
    <mergeCell ref="O30:Q30"/>
    <mergeCell ref="O31:Q31"/>
    <mergeCell ref="O18:Q18"/>
    <mergeCell ref="O19:Q19"/>
    <mergeCell ref="O20:Q20"/>
    <mergeCell ref="O21:Q21"/>
    <mergeCell ref="O22:Q22"/>
    <mergeCell ref="O23:Q23"/>
    <mergeCell ref="O24:Q24"/>
  </mergeCells>
  <printOptions/>
  <pageMargins bottom="0.75" footer="0.0" header="0.0" left="0.7" right="0.7" top="0.75"/>
  <pageSetup orientation="portrait"/>
  <headerFooter>
    <oddFooter>&amp;C000000&amp;P</oddFooter>
  </headerFooter>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32.38"/>
    <col customWidth="1" min="2" max="2" width="8.0"/>
    <col customWidth="1" min="3" max="3" width="7.63"/>
    <col customWidth="1" min="4" max="4" width="6.88"/>
    <col customWidth="1" min="5" max="5" width="8.13"/>
    <col customWidth="1" min="6" max="6" width="8.5"/>
    <col customWidth="1" min="7" max="7" width="6.25"/>
    <col customWidth="1" min="8" max="8" width="8.0"/>
    <col customWidth="1" min="9" max="9" width="8.13"/>
    <col customWidth="1" min="10" max="10" width="6.5"/>
    <col customWidth="1" min="11" max="11" width="10.88"/>
    <col customWidth="1" min="12" max="13" width="0.38"/>
    <col customWidth="1" min="14" max="14" width="18.25"/>
  </cols>
  <sheetData>
    <row r="1" ht="16.5" customHeight="1">
      <c r="A1" s="67" t="s">
        <v>58</v>
      </c>
      <c r="B1" s="68" t="s">
        <v>1</v>
      </c>
      <c r="C1" s="5"/>
      <c r="D1" s="6"/>
      <c r="E1" s="10" t="s">
        <v>2</v>
      </c>
      <c r="F1" s="5"/>
      <c r="G1" s="6"/>
      <c r="H1" s="10" t="s">
        <v>3</v>
      </c>
      <c r="I1" s="5"/>
      <c r="J1" s="6"/>
      <c r="K1" s="69" t="s">
        <v>59</v>
      </c>
      <c r="L1" s="70"/>
      <c r="M1" s="71"/>
      <c r="N1" s="72" t="s">
        <v>60</v>
      </c>
    </row>
    <row r="2" ht="16.5" customHeight="1">
      <c r="A2" s="73" t="s">
        <v>5</v>
      </c>
      <c r="B2" s="74" t="s">
        <v>10</v>
      </c>
      <c r="C2" s="75" t="s">
        <v>11</v>
      </c>
      <c r="D2" s="75" t="s">
        <v>12</v>
      </c>
      <c r="E2" s="75" t="s">
        <v>10</v>
      </c>
      <c r="F2" s="75" t="s">
        <v>11</v>
      </c>
      <c r="G2" s="75" t="s">
        <v>12</v>
      </c>
      <c r="H2" s="75" t="s">
        <v>10</v>
      </c>
      <c r="I2" s="75" t="s">
        <v>11</v>
      </c>
      <c r="J2" s="75" t="s">
        <v>12</v>
      </c>
      <c r="K2" s="76" t="s">
        <v>59</v>
      </c>
      <c r="L2" s="77"/>
      <c r="M2" s="78"/>
      <c r="N2" s="79" t="s">
        <v>60</v>
      </c>
    </row>
    <row r="3" ht="16.5" customHeight="1">
      <c r="A3" s="80" t="s">
        <v>14</v>
      </c>
      <c r="B3" s="81">
        <v>160.0</v>
      </c>
      <c r="C3" s="28">
        <v>9.0</v>
      </c>
      <c r="D3" s="82">
        <f t="shared" ref="D3:D8" si="1">B3/(1.0278-(0.0278*C3))</f>
        <v>205.7613169</v>
      </c>
      <c r="E3" s="28">
        <v>160.0</v>
      </c>
      <c r="F3" s="28">
        <v>7.0</v>
      </c>
      <c r="G3" s="82">
        <f t="shared" ref="G3:G8" si="2">E3/(1.0278-(0.0278*F3))</f>
        <v>192.0307249</v>
      </c>
      <c r="H3" s="28">
        <v>160.0</v>
      </c>
      <c r="I3" s="28">
        <v>8.0</v>
      </c>
      <c r="J3" s="82">
        <f t="shared" ref="J3:J8" si="3">H3/(1.0278-(0.0278*I3))</f>
        <v>198.6590514</v>
      </c>
      <c r="K3" s="83">
        <f t="shared" ref="K3:K8" si="4">+B3*C3+E3*F3+H3*I3</f>
        <v>3840</v>
      </c>
      <c r="L3" s="84"/>
      <c r="M3" s="85"/>
      <c r="N3" s="33" t="str">
        <f>IF(OR(ISBLANK(D3), ISBLANK(G3), ISBLANK(J3), ISBLANK('WEEK 2'!N4)), "", ROUNDUP((((D3 + G3 + J3) / 3) - 'WEEK 2'!N4) / 'WEEK 2'!N4 * 100, 0) &amp; "% " &amp; IF(((D3 + G3 + J3) / 3) - 'WEEK 2'!N4 &gt; 0, "INCREASE", IF(((D3 + G3 + J3) / 3) - 'WEEK 2'!N4 &lt; 0, "DECREASE", "NO CHANGE")))</f>
        <v>7% INCREASE</v>
      </c>
    </row>
    <row r="4" ht="16.5" customHeight="1">
      <c r="A4" s="80" t="s">
        <v>18</v>
      </c>
      <c r="B4" s="81">
        <v>50.0</v>
      </c>
      <c r="C4" s="28">
        <v>11.0</v>
      </c>
      <c r="D4" s="82">
        <f t="shared" si="1"/>
        <v>69.25207756</v>
      </c>
      <c r="E4" s="28">
        <v>50.0</v>
      </c>
      <c r="F4" s="28">
        <v>11.0</v>
      </c>
      <c r="G4" s="82">
        <f t="shared" si="2"/>
        <v>69.25207756</v>
      </c>
      <c r="H4" s="28">
        <v>57.5</v>
      </c>
      <c r="I4" s="28">
        <v>8.0</v>
      </c>
      <c r="J4" s="82">
        <f t="shared" si="3"/>
        <v>71.3930966</v>
      </c>
      <c r="K4" s="86">
        <f t="shared" si="4"/>
        <v>1560</v>
      </c>
      <c r="L4" s="87"/>
      <c r="M4" s="88"/>
      <c r="N4" s="37" t="str">
        <f>IF(OR(ISBLANK(D4), ISBLANK(G4), ISBLANK(J4), ISBLANK('WEEK 2'!N5)), "", ROUNDUP((((D4 + G4 + J4) / 3) - 'WEEK 2'!N5) / 'WEEK 2'!N5 * 100, 0) &amp; "% " &amp; IF(((D4 + G4 + J4) / 3) - 'WEEK 2'!N5 &gt; 0, "INCREASE", IF(((D4 + G4 + J4) / 3) - 'WEEK 2'!N5 &lt; 0, "DECREASE", "NO CHANGE")))</f>
        <v>19% INCREASE</v>
      </c>
    </row>
    <row r="5" ht="16.5" customHeight="1">
      <c r="A5" s="80" t="s">
        <v>20</v>
      </c>
      <c r="B5" s="81">
        <v>60.0</v>
      </c>
      <c r="C5" s="28">
        <v>11.0</v>
      </c>
      <c r="D5" s="82">
        <f t="shared" si="1"/>
        <v>83.10249307</v>
      </c>
      <c r="E5" s="28">
        <v>60.0</v>
      </c>
      <c r="F5" s="28">
        <v>9.0</v>
      </c>
      <c r="G5" s="82">
        <f t="shared" si="2"/>
        <v>77.16049383</v>
      </c>
      <c r="H5" s="28">
        <v>60.0</v>
      </c>
      <c r="I5" s="28">
        <v>12.0</v>
      </c>
      <c r="J5" s="82">
        <f t="shared" si="3"/>
        <v>86.43042351</v>
      </c>
      <c r="K5" s="83">
        <f t="shared" si="4"/>
        <v>1920</v>
      </c>
      <c r="L5" s="84"/>
      <c r="M5" s="85"/>
      <c r="N5" s="33" t="str">
        <f>IF(OR(ISBLANK(D5), ISBLANK(G5), ISBLANK(J5), ISBLANK('WEEK 2'!N6)), "", ROUNDUP((((D5 + G5 + J5) / 3) - 'WEEK 2'!N6) / 'WEEK 2'!N6 * 100, 0) &amp; "% " &amp; IF(((D5 + G5 + J5) / 3) - 'WEEK 2'!N6 &gt; 0, "INCREASE", IF(((D5 + G5 + J5) / 3) - 'WEEK 2'!N6 &lt; 0, "DECREASE", "NO CHANGE")))</f>
        <v>6% INCREASE</v>
      </c>
    </row>
    <row r="6" ht="16.5" customHeight="1">
      <c r="A6" s="80" t="s">
        <v>61</v>
      </c>
      <c r="B6" s="81">
        <v>15.0</v>
      </c>
      <c r="C6" s="28">
        <v>12.0</v>
      </c>
      <c r="D6" s="82">
        <f t="shared" si="1"/>
        <v>21.60760588</v>
      </c>
      <c r="E6" s="28">
        <v>15.0</v>
      </c>
      <c r="F6" s="28">
        <v>9.0</v>
      </c>
      <c r="G6" s="82">
        <f t="shared" si="2"/>
        <v>19.29012346</v>
      </c>
      <c r="H6" s="28">
        <v>15.0</v>
      </c>
      <c r="I6" s="28">
        <v>9.0</v>
      </c>
      <c r="J6" s="82">
        <f t="shared" si="3"/>
        <v>19.29012346</v>
      </c>
      <c r="K6" s="86">
        <f t="shared" si="4"/>
        <v>450</v>
      </c>
      <c r="L6" s="87"/>
      <c r="M6" s="88"/>
      <c r="N6" s="37" t="str">
        <f>IF(OR(ISBLANK(D6), ISBLANK(G6), ISBLANK(J6), ISBLANK('WEEK 2'!N7)), "", ROUNDUP((((D6 + G6 + J6) / 3) - 'WEEK 2'!N7) / 'WEEK 2'!N7 * 100, 0) &amp; "% " &amp; IF(((D6 + G6 + J6) / 3) - 'WEEK 2'!N7 &gt; 0, "INCREASE", IF(((D6 + G6 + J6) / 3) - 'WEEK 2'!N7 &lt; 0, "DECREASE", "NO CHANGE")))</f>
        <v>1% INCREASE</v>
      </c>
    </row>
    <row r="7" ht="16.5" customHeight="1">
      <c r="A7" s="80" t="s">
        <v>23</v>
      </c>
      <c r="B7" s="81">
        <v>150.0</v>
      </c>
      <c r="C7" s="28">
        <v>8.0</v>
      </c>
      <c r="D7" s="82">
        <f t="shared" si="1"/>
        <v>186.2428607</v>
      </c>
      <c r="E7" s="28">
        <v>145.0</v>
      </c>
      <c r="F7" s="28">
        <v>9.0</v>
      </c>
      <c r="G7" s="82">
        <f t="shared" si="2"/>
        <v>186.4711934</v>
      </c>
      <c r="H7" s="28">
        <v>145.0</v>
      </c>
      <c r="I7" s="28">
        <v>8.0</v>
      </c>
      <c r="J7" s="82">
        <f t="shared" si="3"/>
        <v>180.0347653</v>
      </c>
      <c r="K7" s="83">
        <f t="shared" si="4"/>
        <v>3665</v>
      </c>
      <c r="L7" s="84"/>
      <c r="M7" s="85"/>
      <c r="N7" s="33" t="str">
        <f>IF(OR(ISBLANK(D7), ISBLANK(G7), ISBLANK(J7), ISBLANK('WEEK 2'!N8)), "", ROUNDUP((((D7 + G7 + J7) / 3) - 'WEEK 2'!N8) / 'WEEK 2'!N8 * 100, 0) &amp; "% " &amp; IF(((D7 + G7 + J7) / 3) - 'WEEK 2'!N8 &gt; 0, "INCREASE", IF(((D7 + G7 + J7) / 3) - 'WEEK 2'!N8 &lt; 0, "DECREASE", "NO CHANGE")))</f>
        <v>3% INCREASE</v>
      </c>
    </row>
    <row r="8" ht="16.5" customHeight="1">
      <c r="A8" s="80" t="s">
        <v>49</v>
      </c>
      <c r="B8" s="81">
        <v>145.0</v>
      </c>
      <c r="C8" s="28">
        <v>12.0</v>
      </c>
      <c r="D8" s="82">
        <f t="shared" si="1"/>
        <v>208.8735235</v>
      </c>
      <c r="E8" s="28">
        <v>145.0</v>
      </c>
      <c r="F8" s="28">
        <v>11.0</v>
      </c>
      <c r="G8" s="82">
        <f t="shared" si="2"/>
        <v>200.8310249</v>
      </c>
      <c r="H8" s="28">
        <v>145.0</v>
      </c>
      <c r="I8" s="28">
        <v>11.0</v>
      </c>
      <c r="J8" s="82">
        <f t="shared" si="3"/>
        <v>200.8310249</v>
      </c>
      <c r="K8" s="86">
        <f t="shared" si="4"/>
        <v>4930</v>
      </c>
      <c r="L8" s="87"/>
      <c r="M8" s="88"/>
      <c r="N8" s="37" t="str">
        <f>IF(OR(ISBLANK(D8), ISBLANK(G8), ISBLANK(J8), ISBLANK('WEEK 2'!N9)), "", ROUNDUP((((D8 + G8 + J8) / 3) - 'WEEK 2'!N9) / 'WEEK 2'!N9 * 100, 0) &amp; "% " &amp; IF(((D8 + G8 + J8) / 3) - 'WEEK 2'!N9 &gt; 0, "INCREASE", IF(((D8 + G8 + J8) / 3) - 'WEEK 2'!N9 &lt; 0, "DECREASE", "NO CHANGE")))</f>
        <v>2% INCREASE</v>
      </c>
    </row>
    <row r="9" ht="16.5" customHeight="1">
      <c r="A9" s="89" t="s">
        <v>27</v>
      </c>
      <c r="B9" s="74" t="s">
        <v>10</v>
      </c>
      <c r="C9" s="75" t="s">
        <v>11</v>
      </c>
      <c r="D9" s="75" t="s">
        <v>12</v>
      </c>
      <c r="E9" s="75" t="s">
        <v>10</v>
      </c>
      <c r="F9" s="75" t="s">
        <v>11</v>
      </c>
      <c r="G9" s="75" t="s">
        <v>12</v>
      </c>
      <c r="H9" s="75" t="s">
        <v>10</v>
      </c>
      <c r="I9" s="75" t="s">
        <v>11</v>
      </c>
      <c r="J9" s="75" t="s">
        <v>12</v>
      </c>
      <c r="K9" s="76" t="s">
        <v>59</v>
      </c>
      <c r="L9" s="84"/>
      <c r="M9" s="85"/>
      <c r="N9" s="79" t="s">
        <v>60</v>
      </c>
    </row>
    <row r="10" ht="15.75" customHeight="1">
      <c r="A10" s="80" t="s">
        <v>29</v>
      </c>
      <c r="B10" s="81"/>
      <c r="C10" s="28"/>
      <c r="D10" s="82">
        <f t="shared" ref="D10:D15" si="5">B10/(1.0278-(0.0278*C10))</f>
        <v>0</v>
      </c>
      <c r="E10" s="28"/>
      <c r="F10" s="28"/>
      <c r="G10" s="82">
        <f t="shared" ref="G10:G15" si="6">E10/(1.0278-(0.0278*F10))</f>
        <v>0</v>
      </c>
      <c r="H10" s="28"/>
      <c r="I10" s="28"/>
      <c r="J10" s="82">
        <f t="shared" ref="J10:J15" si="7">H10/(1.0278-(0.0278*I10))</f>
        <v>0</v>
      </c>
      <c r="K10" s="86">
        <f t="shared" ref="K10:K15" si="8">+B10*C10+E10*F10+H10*I10</f>
        <v>0</v>
      </c>
      <c r="L10" s="87"/>
      <c r="M10" s="88"/>
      <c r="N10" s="37" t="str">
        <f>IF(OR(ISBLANK(D10), ISBLANK(G10), ISBLANK(J10), ISBLANK('WEEK 2'!N11)), "", ROUNDUP((((D10 + G10 + J10) / 3) - 'WEEK 2'!N11) / 'WEEK 2'!N11 * 100, 0) &amp; "% " &amp; IF(((D10 + G10 + J10) / 3) - 'WEEK 2'!N11 &gt; 0, "INCREASE", IF(((D10 + G10 + J10) / 3) - 'WEEK 2'!N11 &lt; 0, "DECREASE", "NO CHANGE")))</f>
        <v>-100% DECREASE</v>
      </c>
    </row>
    <row r="11" ht="15.75" customHeight="1">
      <c r="A11" s="80" t="s">
        <v>40</v>
      </c>
      <c r="B11" s="81"/>
      <c r="C11" s="28"/>
      <c r="D11" s="82">
        <f t="shared" si="5"/>
        <v>0</v>
      </c>
      <c r="E11" s="38"/>
      <c r="F11" s="38"/>
      <c r="G11" s="82">
        <f t="shared" si="6"/>
        <v>0</v>
      </c>
      <c r="H11" s="38"/>
      <c r="I11" s="38"/>
      <c r="J11" s="82">
        <f t="shared" si="7"/>
        <v>0</v>
      </c>
      <c r="K11" s="83">
        <f t="shared" si="8"/>
        <v>0</v>
      </c>
      <c r="L11" s="84"/>
      <c r="M11" s="85"/>
      <c r="N11" s="33" t="str">
        <f>IF(OR(ISBLANK(D11), ISBLANK(G11), ISBLANK(J11), ISBLANK('WEEK 2'!N12)), "", ROUNDUP((((D11 + G11 + J11) / 3) - 'WEEK 2'!N12) / 'WEEK 2'!N12 * 100, 0) &amp; "% " &amp; IF(((D11 + G11 + J11) / 3) - 'WEEK 2'!N12 &gt; 0, "INCREASE", IF(((D11 + G11 + J11) / 3) - 'WEEK 2'!N12 &lt; 0, "DECREASE", "NO CHANGE")))</f>
        <v>#DIV/0!</v>
      </c>
    </row>
    <row r="12" ht="15.75" customHeight="1">
      <c r="A12" s="80" t="s">
        <v>31</v>
      </c>
      <c r="B12" s="81"/>
      <c r="C12" s="28"/>
      <c r="D12" s="82">
        <f t="shared" si="5"/>
        <v>0</v>
      </c>
      <c r="E12" s="28"/>
      <c r="F12" s="28"/>
      <c r="G12" s="82">
        <f t="shared" si="6"/>
        <v>0</v>
      </c>
      <c r="H12" s="28"/>
      <c r="I12" s="28"/>
      <c r="J12" s="82">
        <f t="shared" si="7"/>
        <v>0</v>
      </c>
      <c r="K12" s="86">
        <f t="shared" si="8"/>
        <v>0</v>
      </c>
      <c r="L12" s="87"/>
      <c r="M12" s="88"/>
      <c r="N12" s="37" t="str">
        <f>IF(OR(ISBLANK(D12), ISBLANK(G12), ISBLANK(J12), ISBLANK('WEEK 2'!N13)), "", ROUNDUP((((D12 + G12 + J12) / 3) - 'WEEK 2'!N13) / 'WEEK 2'!N13 * 100, 0) &amp; "% " &amp; IF(((D12 + G12 + J12) / 3) - 'WEEK 2'!N13 &gt; 0, "INCREASE", IF(((D12 + G12 + J12) / 3) - 'WEEK 2'!N13 &lt; 0, "DECREASE", "NO CHANGE")))</f>
        <v>-100% DECREASE</v>
      </c>
    </row>
    <row r="13" ht="15.75" customHeight="1">
      <c r="A13" s="80" t="s">
        <v>32</v>
      </c>
      <c r="B13" s="90"/>
      <c r="C13" s="38"/>
      <c r="D13" s="82">
        <f t="shared" si="5"/>
        <v>0</v>
      </c>
      <c r="E13" s="38"/>
      <c r="F13" s="38"/>
      <c r="G13" s="82">
        <f t="shared" si="6"/>
        <v>0</v>
      </c>
      <c r="H13" s="38"/>
      <c r="I13" s="38"/>
      <c r="J13" s="82">
        <f t="shared" si="7"/>
        <v>0</v>
      </c>
      <c r="K13" s="83">
        <f t="shared" si="8"/>
        <v>0</v>
      </c>
      <c r="L13" s="84"/>
      <c r="M13" s="85"/>
      <c r="N13" s="33" t="str">
        <f>IF(OR(ISBLANK(D13), ISBLANK(G13), ISBLANK(J13), ISBLANK('WEEK 2'!N14)), "", ROUNDUP((((D13 + G13 + J13) / 3) - 'WEEK 2'!N14) / 'WEEK 2'!N14 * 100, 0) &amp; "% " &amp; IF(((D13 + G13 + J13) / 3) - 'WEEK 2'!N14 &gt; 0, "INCREASE", IF(((D13 + G13 + J13) / 3) - 'WEEK 2'!N14 &lt; 0, "DECREASE", "NO CHANGE")))</f>
        <v>#DIV/0!</v>
      </c>
    </row>
    <row r="14" ht="15.75" customHeight="1">
      <c r="A14" s="80" t="s">
        <v>62</v>
      </c>
      <c r="B14" s="81"/>
      <c r="C14" s="28"/>
      <c r="D14" s="82">
        <f t="shared" si="5"/>
        <v>0</v>
      </c>
      <c r="E14" s="28"/>
      <c r="F14" s="28"/>
      <c r="G14" s="82">
        <f t="shared" si="6"/>
        <v>0</v>
      </c>
      <c r="H14" s="28"/>
      <c r="I14" s="28"/>
      <c r="J14" s="82">
        <f t="shared" si="7"/>
        <v>0</v>
      </c>
      <c r="K14" s="86">
        <f t="shared" si="8"/>
        <v>0</v>
      </c>
      <c r="L14" s="87"/>
      <c r="M14" s="88"/>
      <c r="N14" s="37" t="str">
        <f>IF(OR(ISBLANK(D14), ISBLANK(G14), ISBLANK(J14), ISBLANK('WEEK 2'!N15)), "", ROUNDUP((((D14 + G14 + J14) / 3) - 'WEEK 2'!N15) / 'WEEK 2'!N15 * 100, 0) &amp; "% " &amp; IF(((D14 + G14 + J14) / 3) - 'WEEK 2'!N15 &gt; 0, "INCREASE", IF(((D14 + G14 + J14) / 3) - 'WEEK 2'!N15 &lt; 0, "DECREASE", "NO CHANGE")))</f>
        <v>-100% DECREASE</v>
      </c>
    </row>
    <row r="15" ht="15.75" customHeight="1">
      <c r="A15" s="80" t="s">
        <v>34</v>
      </c>
      <c r="B15" s="81"/>
      <c r="C15" s="28"/>
      <c r="D15" s="82">
        <f t="shared" si="5"/>
        <v>0</v>
      </c>
      <c r="E15" s="28"/>
      <c r="F15" s="28"/>
      <c r="G15" s="82">
        <f t="shared" si="6"/>
        <v>0</v>
      </c>
      <c r="H15" s="28"/>
      <c r="I15" s="28"/>
      <c r="J15" s="82">
        <f t="shared" si="7"/>
        <v>0</v>
      </c>
      <c r="K15" s="83">
        <f t="shared" si="8"/>
        <v>0</v>
      </c>
      <c r="L15" s="84"/>
      <c r="M15" s="85"/>
      <c r="N15" s="33" t="str">
        <f>IF(OR(ISBLANK(D15), ISBLANK(G15), ISBLANK(J15), ISBLANK('WEEK 2'!N16)), "", ROUNDUP((((D15 + G15 + J15) / 3) - 'WEEK 2'!N16) / 'WEEK 2'!N16 * 100, 0) &amp; "% " &amp; IF(((D15 + G15 + J15) / 3) - 'WEEK 2'!N16 &gt; 0, "INCREASE", IF(((D15 + G15 + J15) / 3) - 'WEEK 2'!N16 &lt; 0, "DECREASE", "NO CHANGE")))</f>
        <v>-100% DECREASE</v>
      </c>
    </row>
    <row r="16" ht="16.5" customHeight="1">
      <c r="A16" s="73" t="s">
        <v>37</v>
      </c>
      <c r="B16" s="74" t="s">
        <v>10</v>
      </c>
      <c r="C16" s="75" t="s">
        <v>11</v>
      </c>
      <c r="D16" s="75" t="s">
        <v>12</v>
      </c>
      <c r="E16" s="75" t="s">
        <v>10</v>
      </c>
      <c r="F16" s="75" t="s">
        <v>11</v>
      </c>
      <c r="G16" s="75" t="s">
        <v>12</v>
      </c>
      <c r="H16" s="75" t="s">
        <v>10</v>
      </c>
      <c r="I16" s="75" t="s">
        <v>11</v>
      </c>
      <c r="J16" s="75" t="s">
        <v>12</v>
      </c>
      <c r="K16" s="76" t="s">
        <v>59</v>
      </c>
      <c r="L16" s="87"/>
      <c r="M16" s="88"/>
      <c r="N16" s="79" t="s">
        <v>60</v>
      </c>
    </row>
    <row r="17" ht="16.5" customHeight="1">
      <c r="A17" s="80" t="s">
        <v>38</v>
      </c>
      <c r="B17" s="90"/>
      <c r="C17" s="38"/>
      <c r="D17" s="82">
        <f t="shared" ref="D17:D21" si="9">B17/(1.0278-(0.0278*C17))</f>
        <v>0</v>
      </c>
      <c r="E17" s="38"/>
      <c r="F17" s="38"/>
      <c r="G17" s="82">
        <f t="shared" ref="G17:G21" si="10">E17/(1.0278-(0.0278*F17))</f>
        <v>0</v>
      </c>
      <c r="H17" s="38"/>
      <c r="I17" s="38"/>
      <c r="J17" s="82">
        <f t="shared" ref="J17:J21" si="11">H17/(1.0278-(0.0278*I17))</f>
        <v>0</v>
      </c>
      <c r="K17" s="83">
        <f t="shared" ref="K17:K21" si="12">+B17*C17+E17*F17+H17*I17</f>
        <v>0</v>
      </c>
      <c r="L17" s="84"/>
      <c r="M17" s="85"/>
      <c r="N17" s="33" t="str">
        <f>IF(OR(ISBLANK(D17), ISBLANK(G17), ISBLANK(J17), ISBLANK('WEEK 2'!N18)), "", ROUNDUP((((D17 + G17 + J17) / 3) - 'WEEK 2'!N18) / 'WEEK 2'!N18 * 100, 0) &amp; "% " &amp; IF(((D17 + G17 + J17) / 3) - 'WEEK 2'!N18 &gt; 0, "INCREASE", IF(((D17 + G17 + J17) / 3) - 'WEEK 2'!N18 &lt; 0, "DECREASE", "NO CHANGE")))</f>
        <v>#DIV/0!</v>
      </c>
    </row>
    <row r="18" ht="15.75" customHeight="1">
      <c r="A18" s="80" t="s">
        <v>40</v>
      </c>
      <c r="B18" s="90"/>
      <c r="C18" s="38"/>
      <c r="D18" s="82">
        <f t="shared" si="9"/>
        <v>0</v>
      </c>
      <c r="E18" s="38"/>
      <c r="F18" s="38"/>
      <c r="G18" s="82">
        <f t="shared" si="10"/>
        <v>0</v>
      </c>
      <c r="H18" s="38"/>
      <c r="I18" s="38"/>
      <c r="J18" s="82">
        <f t="shared" si="11"/>
        <v>0</v>
      </c>
      <c r="K18" s="86">
        <f t="shared" si="12"/>
        <v>0</v>
      </c>
      <c r="L18" s="87"/>
      <c r="M18" s="88"/>
      <c r="N18" s="37" t="str">
        <f>IF(OR(ISBLANK(D18), ISBLANK(G18), ISBLANK(J18), ISBLANK('WEEK 2'!N19)), "", ROUNDUP((((D18 + G18 + J18) / 3) - 'WEEK 2'!N19) / 'WEEK 2'!N19 * 100, 0) &amp; "% " &amp; IF(((D18 + G18 + J18) / 3) - 'WEEK 2'!N19 &gt; 0, "INCREASE", IF(((D18 + G18 + J18) / 3) - 'WEEK 2'!N19 &lt; 0, "DECREASE", "NO CHANGE")))</f>
        <v>#VALUE!</v>
      </c>
    </row>
    <row r="19" ht="15.75" customHeight="1">
      <c r="A19" s="80" t="s">
        <v>41</v>
      </c>
      <c r="B19" s="90"/>
      <c r="C19" s="38"/>
      <c r="D19" s="82">
        <f t="shared" si="9"/>
        <v>0</v>
      </c>
      <c r="E19" s="38"/>
      <c r="F19" s="38"/>
      <c r="G19" s="82">
        <f t="shared" si="10"/>
        <v>0</v>
      </c>
      <c r="H19" s="38"/>
      <c r="I19" s="38"/>
      <c r="J19" s="82">
        <f t="shared" si="11"/>
        <v>0</v>
      </c>
      <c r="K19" s="83">
        <f t="shared" si="12"/>
        <v>0</v>
      </c>
      <c r="L19" s="84"/>
      <c r="M19" s="85"/>
      <c r="N19" s="33" t="str">
        <f>IF(OR(ISBLANK(D19), ISBLANK(G19), ISBLANK(J19), ISBLANK('WEEK 2'!N20)), "", ROUNDUP((((D19 + G19 + J19) / 3) - 'WEEK 2'!N20) / 'WEEK 2'!N20 * 100, 0) &amp; "% " &amp; IF(((D19 + G19 + J19) / 3) - 'WEEK 2'!N20 &gt; 0, "INCREASE", IF(((D19 + G19 + J19) / 3) - 'WEEK 2'!N20 &lt; 0, "DECREASE", "NO CHANGE")))</f>
        <v>#DIV/0!</v>
      </c>
    </row>
    <row r="20" ht="16.5" customHeight="1">
      <c r="A20" s="80" t="s">
        <v>21</v>
      </c>
      <c r="B20" s="90"/>
      <c r="C20" s="38"/>
      <c r="D20" s="82">
        <f t="shared" si="9"/>
        <v>0</v>
      </c>
      <c r="E20" s="38"/>
      <c r="F20" s="38"/>
      <c r="G20" s="82">
        <f t="shared" si="10"/>
        <v>0</v>
      </c>
      <c r="H20" s="38"/>
      <c r="I20" s="38"/>
      <c r="J20" s="82">
        <f t="shared" si="11"/>
        <v>0</v>
      </c>
      <c r="K20" s="86">
        <f t="shared" si="12"/>
        <v>0</v>
      </c>
      <c r="L20" s="87"/>
      <c r="M20" s="88"/>
      <c r="N20" s="37" t="str">
        <f>IF(OR(ISBLANK(D20), ISBLANK(G20), ISBLANK(J20), ISBLANK('WEEK 2'!N21)), "", ROUNDUP((((D20 + G20 + J20) / 3) - 'WEEK 2'!N21) / 'WEEK 2'!N21 * 100, 0) &amp; "% " &amp; IF(((D20 + G20 + J20) / 3) - 'WEEK 2'!N21 &gt; 0, "INCREASE", IF(((D20 + G20 + J20) / 3) - 'WEEK 2'!N21 &lt; 0, "DECREASE", "NO CHANGE")))</f>
        <v>#DIV/0!</v>
      </c>
    </row>
    <row r="21" ht="15.75" customHeight="1">
      <c r="A21" s="80" t="s">
        <v>31</v>
      </c>
      <c r="B21" s="90"/>
      <c r="C21" s="38"/>
      <c r="D21" s="82">
        <f t="shared" si="9"/>
        <v>0</v>
      </c>
      <c r="E21" s="38"/>
      <c r="F21" s="38"/>
      <c r="G21" s="82">
        <f t="shared" si="10"/>
        <v>0</v>
      </c>
      <c r="H21" s="38"/>
      <c r="I21" s="38"/>
      <c r="J21" s="82">
        <f t="shared" si="11"/>
        <v>0</v>
      </c>
      <c r="K21" s="83">
        <f t="shared" si="12"/>
        <v>0</v>
      </c>
      <c r="L21" s="84"/>
      <c r="M21" s="85"/>
      <c r="N21" s="33" t="str">
        <f>IF(OR(ISBLANK(D21), ISBLANK(G21), ISBLANK(J21), ISBLANK('WEEK 2'!N22)), "", ROUNDUP((((D21 + G21 + J21) / 3) - 'WEEK 2'!N22) / 'WEEK 2'!N22 * 100, 0) &amp; "% " &amp; IF(((D21 + G21 + J21) / 3) - 'WEEK 2'!N22 &gt; 0, "INCREASE", IF(((D21 + G21 + J21) / 3) - 'WEEK 2'!N22 &lt; 0, "DECREASE", "NO CHANGE")))</f>
        <v>#DIV/0!</v>
      </c>
    </row>
    <row r="22" ht="17.25" customHeight="1">
      <c r="A22" s="73" t="s">
        <v>42</v>
      </c>
      <c r="B22" s="74" t="s">
        <v>10</v>
      </c>
      <c r="C22" s="75" t="s">
        <v>11</v>
      </c>
      <c r="D22" s="75" t="s">
        <v>12</v>
      </c>
      <c r="E22" s="75" t="s">
        <v>10</v>
      </c>
      <c r="F22" s="75" t="s">
        <v>11</v>
      </c>
      <c r="G22" s="75" t="s">
        <v>12</v>
      </c>
      <c r="H22" s="75" t="s">
        <v>10</v>
      </c>
      <c r="I22" s="75" t="s">
        <v>11</v>
      </c>
      <c r="J22" s="75" t="s">
        <v>12</v>
      </c>
      <c r="K22" s="76" t="s">
        <v>59</v>
      </c>
      <c r="L22" s="87"/>
      <c r="M22" s="88"/>
      <c r="N22" s="79" t="s">
        <v>60</v>
      </c>
    </row>
    <row r="23" ht="15.0" customHeight="1">
      <c r="A23" s="80" t="s">
        <v>63</v>
      </c>
      <c r="B23" s="81"/>
      <c r="C23" s="28"/>
      <c r="D23" s="82">
        <f t="shared" ref="D23:D28" si="13">B23/(1.0278-(0.0278*C23))</f>
        <v>0</v>
      </c>
      <c r="E23" s="28"/>
      <c r="F23" s="28"/>
      <c r="G23" s="82">
        <f t="shared" ref="G23:G28" si="14">E23/(1.0278-(0.0278*F23))</f>
        <v>0</v>
      </c>
      <c r="H23" s="28"/>
      <c r="I23" s="28"/>
      <c r="J23" s="82">
        <f t="shared" ref="J23:J28" si="15">H23/(1.0278-(0.0278*I23))</f>
        <v>0</v>
      </c>
      <c r="K23" s="83">
        <f t="shared" ref="K23:K28" si="16">+B23*C23+E23*F23+H23*I23</f>
        <v>0</v>
      </c>
      <c r="L23" s="84"/>
      <c r="M23" s="85"/>
      <c r="N23" s="33" t="str">
        <f>IF(OR(ISBLANK(D23), ISBLANK(G23), ISBLANK(J23), ISBLANK('WEEK 2'!N24)), "", ROUNDUP((((D23 + G23 + J23) / 3) - 'WEEK 2'!N24) / 'WEEK 2'!N24 * 100, 0) &amp; "% " &amp; IF(((D23 + G23 + J23) / 3) - 'WEEK 2'!N24 &gt; 0, "INCREASE", IF(((D23 + G23 + J23) / 3) - 'WEEK 2'!N24 &lt; 0, "DECREASE", "NO CHANGE")))</f>
        <v>#DIV/0!</v>
      </c>
    </row>
    <row r="24" ht="15.0" customHeight="1">
      <c r="A24" s="80" t="s">
        <v>62</v>
      </c>
      <c r="B24" s="81"/>
      <c r="C24" s="28"/>
      <c r="D24" s="82">
        <f t="shared" si="13"/>
        <v>0</v>
      </c>
      <c r="E24" s="28"/>
      <c r="F24" s="28"/>
      <c r="G24" s="82">
        <f t="shared" si="14"/>
        <v>0</v>
      </c>
      <c r="H24" s="28"/>
      <c r="I24" s="28"/>
      <c r="J24" s="82">
        <f t="shared" si="15"/>
        <v>0</v>
      </c>
      <c r="K24" s="86">
        <f t="shared" si="16"/>
        <v>0</v>
      </c>
      <c r="L24" s="87"/>
      <c r="M24" s="88"/>
      <c r="N24" s="37" t="str">
        <f>IF(OR(ISBLANK(D24), ISBLANK(G24), ISBLANK(J24), ISBLANK('WEEK 2'!N25)), "", ROUNDUP((((D24 + G24 + J24) / 3) - 'WEEK 2'!N25) / 'WEEK 2'!N25 * 100, 0) &amp; "% " &amp; IF(((D24 + G24 + J24) / 3) - 'WEEK 2'!N25 &gt; 0, "INCREASE", IF(((D24 + G24 + J24) / 3) - 'WEEK 2'!N25 &lt; 0, "DECREASE", "NO CHANGE")))</f>
        <v>#VALUE!</v>
      </c>
    </row>
    <row r="25" ht="15.0" customHeight="1">
      <c r="A25" s="80" t="s">
        <v>64</v>
      </c>
      <c r="B25" s="81"/>
      <c r="C25" s="28"/>
      <c r="D25" s="82">
        <f t="shared" si="13"/>
        <v>0</v>
      </c>
      <c r="E25" s="28"/>
      <c r="F25" s="28"/>
      <c r="G25" s="82">
        <f t="shared" si="14"/>
        <v>0</v>
      </c>
      <c r="H25" s="28"/>
      <c r="I25" s="28"/>
      <c r="J25" s="82">
        <f t="shared" si="15"/>
        <v>0</v>
      </c>
      <c r="K25" s="83">
        <f t="shared" si="16"/>
        <v>0</v>
      </c>
      <c r="L25" s="84"/>
      <c r="M25" s="85"/>
      <c r="N25" s="33" t="str">
        <f>IF(OR(ISBLANK(D25), ISBLANK(G25), ISBLANK(J25), ISBLANK('WEEK 2'!N26)), "", ROUNDUP((((D25 + G25 + J25) / 3) - 'WEEK 2'!N26) / 'WEEK 2'!N26 * 100, 0) &amp; "% " &amp; IF(((D25 + G25 + J25) / 3) - 'WEEK 2'!N26 &gt; 0, "INCREASE", IF(((D25 + G25 + J25) / 3) - 'WEEK 2'!N26 &lt; 0, "DECREASE", "NO CHANGE")))</f>
        <v>-100% DECREASE</v>
      </c>
    </row>
    <row r="26" ht="15.0" customHeight="1">
      <c r="A26" s="80" t="s">
        <v>47</v>
      </c>
      <c r="B26" s="81"/>
      <c r="C26" s="28"/>
      <c r="D26" s="82">
        <f t="shared" si="13"/>
        <v>0</v>
      </c>
      <c r="E26" s="28"/>
      <c r="F26" s="28"/>
      <c r="G26" s="82">
        <f t="shared" si="14"/>
        <v>0</v>
      </c>
      <c r="H26" s="28"/>
      <c r="I26" s="28"/>
      <c r="J26" s="82">
        <f t="shared" si="15"/>
        <v>0</v>
      </c>
      <c r="K26" s="86">
        <f t="shared" si="16"/>
        <v>0</v>
      </c>
      <c r="L26" s="87"/>
      <c r="M26" s="88"/>
      <c r="N26" s="37" t="str">
        <f>IF(OR(ISBLANK(D26), ISBLANK(G26), ISBLANK(J26), ISBLANK('WEEK 2'!N27)), "", ROUNDUP((((D26 + G26 + J26) / 3) - 'WEEK 2'!N27) / 'WEEK 2'!N27 * 100, 0) &amp; "% " &amp; IF(((D26 + G26 + J26) / 3) - 'WEEK 2'!N27 &gt; 0, "INCREASE", IF(((D26 + G26 + J26) / 3) - 'WEEK 2'!N27 &lt; 0, "DECREASE", "NO CHANGE")))</f>
        <v>-100% DECREASE</v>
      </c>
    </row>
    <row r="27" ht="15.0" customHeight="1">
      <c r="A27" s="80" t="s">
        <v>48</v>
      </c>
      <c r="B27" s="81"/>
      <c r="C27" s="28"/>
      <c r="D27" s="82">
        <f t="shared" si="13"/>
        <v>0</v>
      </c>
      <c r="E27" s="28"/>
      <c r="F27" s="28"/>
      <c r="G27" s="82">
        <f t="shared" si="14"/>
        <v>0</v>
      </c>
      <c r="H27" s="28"/>
      <c r="I27" s="28"/>
      <c r="J27" s="82">
        <f t="shared" si="15"/>
        <v>0</v>
      </c>
      <c r="K27" s="83">
        <f t="shared" si="16"/>
        <v>0</v>
      </c>
      <c r="L27" s="84"/>
      <c r="M27" s="85"/>
      <c r="N27" s="33" t="str">
        <f>IF(OR(ISBLANK(D27), ISBLANK(G27), ISBLANK(J27), ISBLANK('WEEK 2'!N28)), "", ROUNDUP((((D27 + G27 + J27) / 3) - 'WEEK 2'!N28) / 'WEEK 2'!N28 * 100, 0) &amp; "% " &amp; IF(((D27 + G27 + J27) / 3) - 'WEEK 2'!N28 &gt; 0, "INCREASE", IF(((D27 + G27 + J27) / 3) - 'WEEK 2'!N28 &lt; 0, "DECREASE", "NO CHANGE")))</f>
        <v>-100% DECREASE</v>
      </c>
    </row>
    <row r="28" ht="15.0" customHeight="1">
      <c r="A28" s="80" t="s">
        <v>57</v>
      </c>
      <c r="B28" s="81"/>
      <c r="C28" s="28"/>
      <c r="D28" s="82">
        <f t="shared" si="13"/>
        <v>0</v>
      </c>
      <c r="E28" s="28"/>
      <c r="F28" s="28"/>
      <c r="G28" s="82">
        <f t="shared" si="14"/>
        <v>0</v>
      </c>
      <c r="H28" s="28"/>
      <c r="I28" s="28"/>
      <c r="J28" s="82">
        <f t="shared" si="15"/>
        <v>0</v>
      </c>
      <c r="K28" s="86">
        <f t="shared" si="16"/>
        <v>0</v>
      </c>
      <c r="L28" s="87"/>
      <c r="M28" s="88"/>
      <c r="N28" s="37" t="str">
        <f>IF(OR(ISBLANK(D28), ISBLANK(G28), ISBLANK(J28), ISBLANK('WEEK 2'!N29)), "", ROUNDUP((((D28 + G28 + J28) / 3) - 'WEEK 2'!N29) / 'WEEK 2'!N29 * 100, 0) &amp; "% " &amp; IF(((D28 + G28 + J28) / 3) - 'WEEK 2'!N29 &gt; 0, "INCREASE", IF(((D28 + G28 + J28) / 3) - 'WEEK 2'!N29 &lt; 0, "DECREASE", "NO CHANGE")))</f>
        <v>-100% DECREASE</v>
      </c>
    </row>
  </sheetData>
  <mergeCells count="31">
    <mergeCell ref="B1:D1"/>
    <mergeCell ref="E1:G1"/>
    <mergeCell ref="H1:J1"/>
    <mergeCell ref="K1:M1"/>
    <mergeCell ref="K2:M2"/>
    <mergeCell ref="K3:M3"/>
    <mergeCell ref="K4:M4"/>
    <mergeCell ref="K5:M5"/>
    <mergeCell ref="K6:M6"/>
    <mergeCell ref="K7:M7"/>
    <mergeCell ref="K8:M8"/>
    <mergeCell ref="K9:M9"/>
    <mergeCell ref="K10:M10"/>
    <mergeCell ref="K11:M11"/>
    <mergeCell ref="K12:M12"/>
    <mergeCell ref="K13:M13"/>
    <mergeCell ref="K14:M14"/>
    <mergeCell ref="K15:M15"/>
    <mergeCell ref="K16:M16"/>
    <mergeCell ref="K17:M17"/>
    <mergeCell ref="K18:M18"/>
    <mergeCell ref="K26:M26"/>
    <mergeCell ref="K27:M27"/>
    <mergeCell ref="K28:M28"/>
    <mergeCell ref="K19:M19"/>
    <mergeCell ref="K20:M20"/>
    <mergeCell ref="K21:M21"/>
    <mergeCell ref="K22:M22"/>
    <mergeCell ref="K23:M23"/>
    <mergeCell ref="K24:M24"/>
    <mergeCell ref="K25:M25"/>
  </mergeCells>
  <printOptions/>
  <pageMargins bottom="0.75" footer="0.0" header="0.0" left="0.7" right="0.7" top="0.75"/>
  <pageSetup orientation="portrait"/>
  <headerFooter>
    <oddFooter>&amp;C000000&amp;P</oddFooter>
  </headerFooter>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32.38"/>
    <col customWidth="1" min="2" max="2" width="8.0"/>
    <col customWidth="1" min="3" max="3" width="7.63"/>
    <col customWidth="1" min="4" max="4" width="6.88"/>
    <col customWidth="1" min="5" max="5" width="8.13"/>
    <col customWidth="1" min="6" max="6" width="8.5"/>
    <col customWidth="1" min="7" max="7" width="6.25"/>
    <col customWidth="1" min="8" max="8" width="8.0"/>
    <col customWidth="1" min="9" max="9" width="8.13"/>
    <col customWidth="1" min="10" max="10" width="6.5"/>
    <col customWidth="1" min="11" max="11" width="10.88"/>
    <col customWidth="1" min="12" max="13" width="0.38"/>
    <col customWidth="1" min="14" max="14" width="18.25"/>
  </cols>
  <sheetData>
    <row r="1" ht="16.5" customHeight="1">
      <c r="A1" s="67" t="s">
        <v>58</v>
      </c>
      <c r="B1" s="68" t="s">
        <v>1</v>
      </c>
      <c r="C1" s="5"/>
      <c r="D1" s="6"/>
      <c r="E1" s="10" t="s">
        <v>2</v>
      </c>
      <c r="F1" s="5"/>
      <c r="G1" s="6"/>
      <c r="H1" s="10" t="s">
        <v>3</v>
      </c>
      <c r="I1" s="5"/>
      <c r="J1" s="6"/>
      <c r="K1" s="69" t="s">
        <v>59</v>
      </c>
      <c r="L1" s="70"/>
      <c r="M1" s="71"/>
      <c r="N1" s="72" t="s">
        <v>60</v>
      </c>
    </row>
    <row r="2" ht="16.5" customHeight="1">
      <c r="A2" s="73" t="s">
        <v>5</v>
      </c>
      <c r="B2" s="74" t="s">
        <v>10</v>
      </c>
      <c r="C2" s="75" t="s">
        <v>11</v>
      </c>
      <c r="D2" s="75" t="s">
        <v>12</v>
      </c>
      <c r="E2" s="75" t="s">
        <v>10</v>
      </c>
      <c r="F2" s="75" t="s">
        <v>11</v>
      </c>
      <c r="G2" s="75" t="s">
        <v>12</v>
      </c>
      <c r="H2" s="75" t="s">
        <v>10</v>
      </c>
      <c r="I2" s="75" t="s">
        <v>11</v>
      </c>
      <c r="J2" s="75" t="s">
        <v>12</v>
      </c>
      <c r="K2" s="76" t="s">
        <v>59</v>
      </c>
      <c r="L2" s="77"/>
      <c r="M2" s="78"/>
      <c r="N2" s="79" t="s">
        <v>60</v>
      </c>
    </row>
    <row r="3" ht="16.5" customHeight="1">
      <c r="A3" s="80" t="s">
        <v>14</v>
      </c>
      <c r="B3" s="81">
        <v>160.0</v>
      </c>
      <c r="C3" s="28">
        <v>12.0</v>
      </c>
      <c r="D3" s="82">
        <f t="shared" ref="D3:D8" si="1">B3/(1.0278-(0.0278*C3))</f>
        <v>230.4811294</v>
      </c>
      <c r="E3" s="28">
        <v>160.0</v>
      </c>
      <c r="F3" s="28">
        <v>11.0</v>
      </c>
      <c r="G3" s="82">
        <f t="shared" ref="G3:G8" si="2">E3/(1.0278-(0.0278*F3))</f>
        <v>221.6066482</v>
      </c>
      <c r="H3" s="28">
        <v>160.0</v>
      </c>
      <c r="I3" s="28">
        <v>9.0</v>
      </c>
      <c r="J3" s="82">
        <f t="shared" ref="J3:J8" si="3">H3/(1.0278-(0.0278*I3))</f>
        <v>205.7613169</v>
      </c>
      <c r="K3" s="83">
        <f t="shared" ref="K3:K8" si="4">+B3*C3+E3*F3+H3*I3</f>
        <v>5120</v>
      </c>
      <c r="L3" s="84"/>
      <c r="M3" s="85"/>
      <c r="N3" s="33" t="str">
        <f>IF(OR(ISBLANK(D3), ISBLANK(G3), ISBLANK(J3), ISBLANK('WEEK 2'!N4)), "", ROUNDUP((((D3 + G3 + J3) / 3) - 'WEEK 2'!N4) / 'WEEK 2'!N4 * 100, 0) &amp; "% " &amp; IF(((D3 + G3 + J3) / 3) - 'WEEK 2'!N4 &gt; 0, "INCREASE", IF(((D3 + G3 + J3) / 3) - 'WEEK 2'!N4 &lt; 0, "DECREASE", "NO CHANGE")))</f>
        <v>19% INCREASE</v>
      </c>
    </row>
    <row r="4" ht="16.5" customHeight="1">
      <c r="A4" s="80" t="s">
        <v>18</v>
      </c>
      <c r="B4" s="81">
        <v>50.0</v>
      </c>
      <c r="C4" s="28">
        <v>14.0</v>
      </c>
      <c r="D4" s="82">
        <f t="shared" si="1"/>
        <v>78.2962731</v>
      </c>
      <c r="E4" s="28">
        <v>57.5</v>
      </c>
      <c r="F4" s="28">
        <v>8.0</v>
      </c>
      <c r="G4" s="82">
        <f t="shared" si="2"/>
        <v>71.3930966</v>
      </c>
      <c r="H4" s="28">
        <v>52.5</v>
      </c>
      <c r="I4" s="28">
        <v>10.0</v>
      </c>
      <c r="J4" s="82">
        <f t="shared" si="3"/>
        <v>70.01867165</v>
      </c>
      <c r="K4" s="86">
        <f t="shared" si="4"/>
        <v>1685</v>
      </c>
      <c r="L4" s="87"/>
      <c r="M4" s="88"/>
      <c r="N4" s="37" t="str">
        <f>IF(OR(ISBLANK(D4), ISBLANK(G4), ISBLANK(J4), ISBLANK('WEEK 2'!N5)), "", ROUNDUP((((D4 + G4 + J4) / 3) - 'WEEK 2'!N5) / 'WEEK 2'!N5 * 100, 0) &amp; "% " &amp; IF(((D4 + G4 + J4) / 3) - 'WEEK 2'!N5 &gt; 0, "INCREASE", IF(((D4 + G4 + J4) / 3) - 'WEEK 2'!N5 &lt; 0, "DECREASE", "NO CHANGE")))</f>
        <v>25% INCREASE</v>
      </c>
    </row>
    <row r="5" ht="16.5" customHeight="1">
      <c r="A5" s="80" t="s">
        <v>20</v>
      </c>
      <c r="B5" s="81">
        <v>60.0</v>
      </c>
      <c r="C5" s="28">
        <v>12.0</v>
      </c>
      <c r="D5" s="82">
        <f t="shared" si="1"/>
        <v>86.43042351</v>
      </c>
      <c r="E5" s="28">
        <v>60.0</v>
      </c>
      <c r="F5" s="28">
        <v>10.0</v>
      </c>
      <c r="G5" s="82">
        <f t="shared" si="2"/>
        <v>80.02133902</v>
      </c>
      <c r="H5" s="28">
        <v>60.0</v>
      </c>
      <c r="I5" s="28">
        <v>10.0</v>
      </c>
      <c r="J5" s="82">
        <f t="shared" si="3"/>
        <v>80.02133902</v>
      </c>
      <c r="K5" s="83">
        <f t="shared" si="4"/>
        <v>1920</v>
      </c>
      <c r="L5" s="84"/>
      <c r="M5" s="85"/>
      <c r="N5" s="33" t="str">
        <f>IF(OR(ISBLANK(D5), ISBLANK(G5), ISBLANK(J5), ISBLANK('WEEK 2'!N6)), "", ROUNDUP((((D5 + G5 + J5) / 3) - 'WEEK 2'!N6) / 'WEEK 2'!N6 * 100, 0) &amp; "% " &amp; IF(((D5 + G5 + J5) / 3) - 'WEEK 2'!N6 &gt; 0, "INCREASE", IF(((D5 + G5 + J5) / 3) - 'WEEK 2'!N6 &lt; 0, "DECREASE", "NO CHANGE")))</f>
        <v>6% INCREASE</v>
      </c>
    </row>
    <row r="6" ht="16.5" customHeight="1">
      <c r="A6" s="80" t="s">
        <v>61</v>
      </c>
      <c r="B6" s="81">
        <v>15.0</v>
      </c>
      <c r="C6" s="28">
        <v>12.0</v>
      </c>
      <c r="D6" s="82">
        <f t="shared" si="1"/>
        <v>21.60760588</v>
      </c>
      <c r="E6" s="28">
        <v>20.0</v>
      </c>
      <c r="F6" s="28">
        <v>10.0</v>
      </c>
      <c r="G6" s="82">
        <f t="shared" si="2"/>
        <v>26.67377967</v>
      </c>
      <c r="H6" s="28">
        <v>20.0</v>
      </c>
      <c r="I6" s="28">
        <v>10.0</v>
      </c>
      <c r="J6" s="82">
        <f t="shared" si="3"/>
        <v>26.67377967</v>
      </c>
      <c r="K6" s="86">
        <f t="shared" si="4"/>
        <v>580</v>
      </c>
      <c r="L6" s="87"/>
      <c r="M6" s="88"/>
      <c r="N6" s="37" t="str">
        <f>IF(OR(ISBLANK(D6), ISBLANK(G6), ISBLANK(J6), ISBLANK('WEEK 2'!N7)), "", ROUNDUP((((D6 + G6 + J6) / 3) - 'WEEK 2'!N7) / 'WEEK 2'!N7 * 100, 0) &amp; "% " &amp; IF(((D6 + G6 + J6) / 3) - 'WEEK 2'!N7 &gt; 0, "INCREASE", IF(((D6 + G6 + J6) / 3) - 'WEEK 2'!N7 &lt; 0, "DECREASE", "NO CHANGE")))</f>
        <v>25% INCREASE</v>
      </c>
    </row>
    <row r="7" ht="16.5" customHeight="1">
      <c r="A7" s="80" t="s">
        <v>23</v>
      </c>
      <c r="B7" s="81">
        <v>150.0</v>
      </c>
      <c r="C7" s="28">
        <v>8.0</v>
      </c>
      <c r="D7" s="82">
        <f t="shared" si="1"/>
        <v>186.2428607</v>
      </c>
      <c r="E7" s="28">
        <v>145.0</v>
      </c>
      <c r="F7" s="28">
        <v>9.0</v>
      </c>
      <c r="G7" s="82">
        <f t="shared" si="2"/>
        <v>186.4711934</v>
      </c>
      <c r="H7" s="28">
        <v>145.0</v>
      </c>
      <c r="I7" s="28">
        <v>8.0</v>
      </c>
      <c r="J7" s="82">
        <f t="shared" si="3"/>
        <v>180.0347653</v>
      </c>
      <c r="K7" s="83">
        <f t="shared" si="4"/>
        <v>3665</v>
      </c>
      <c r="L7" s="84"/>
      <c r="M7" s="85"/>
      <c r="N7" s="33" t="str">
        <f>IF(OR(ISBLANK(D7), ISBLANK(G7), ISBLANK(J7), ISBLANK('WEEK 2'!N8)), "", ROUNDUP((((D7 + G7 + J7) / 3) - 'WEEK 2'!N8) / 'WEEK 2'!N8 * 100, 0) &amp; "% " &amp; IF(((D7 + G7 + J7) / 3) - 'WEEK 2'!N8 &gt; 0, "INCREASE", IF(((D7 + G7 + J7) / 3) - 'WEEK 2'!N8 &lt; 0, "DECREASE", "NO CHANGE")))</f>
        <v>3% INCREASE</v>
      </c>
    </row>
    <row r="8" ht="16.5" customHeight="1">
      <c r="A8" s="80" t="s">
        <v>49</v>
      </c>
      <c r="B8" s="81">
        <v>145.0</v>
      </c>
      <c r="C8" s="28">
        <v>12.0</v>
      </c>
      <c r="D8" s="82">
        <f t="shared" si="1"/>
        <v>208.8735235</v>
      </c>
      <c r="E8" s="28">
        <v>145.0</v>
      </c>
      <c r="F8" s="28">
        <v>11.0</v>
      </c>
      <c r="G8" s="82">
        <f t="shared" si="2"/>
        <v>200.8310249</v>
      </c>
      <c r="H8" s="28">
        <v>145.0</v>
      </c>
      <c r="I8" s="28">
        <v>11.0</v>
      </c>
      <c r="J8" s="82">
        <f t="shared" si="3"/>
        <v>200.8310249</v>
      </c>
      <c r="K8" s="86">
        <f t="shared" si="4"/>
        <v>4930</v>
      </c>
      <c r="L8" s="87"/>
      <c r="M8" s="88"/>
      <c r="N8" s="37" t="str">
        <f>IF(OR(ISBLANK(D8), ISBLANK(G8), ISBLANK(J8), ISBLANK('WEEK 2'!N9)), "", ROUNDUP((((D8 + G8 + J8) / 3) - 'WEEK 2'!N9) / 'WEEK 2'!N9 * 100, 0) &amp; "% " &amp; IF(((D8 + G8 + J8) / 3) - 'WEEK 2'!N9 &gt; 0, "INCREASE", IF(((D8 + G8 + J8) / 3) - 'WEEK 2'!N9 &lt; 0, "DECREASE", "NO CHANGE")))</f>
        <v>2% INCREASE</v>
      </c>
    </row>
    <row r="9" ht="16.5" customHeight="1">
      <c r="A9" s="89" t="s">
        <v>27</v>
      </c>
      <c r="B9" s="74" t="s">
        <v>10</v>
      </c>
      <c r="C9" s="75" t="s">
        <v>11</v>
      </c>
      <c r="D9" s="75" t="s">
        <v>12</v>
      </c>
      <c r="E9" s="75" t="s">
        <v>10</v>
      </c>
      <c r="F9" s="75" t="s">
        <v>11</v>
      </c>
      <c r="G9" s="75" t="s">
        <v>12</v>
      </c>
      <c r="H9" s="75" t="s">
        <v>10</v>
      </c>
      <c r="I9" s="75" t="s">
        <v>11</v>
      </c>
      <c r="J9" s="75" t="s">
        <v>12</v>
      </c>
      <c r="K9" s="76" t="s">
        <v>59</v>
      </c>
      <c r="L9" s="84"/>
      <c r="M9" s="85"/>
      <c r="N9" s="79" t="s">
        <v>60</v>
      </c>
    </row>
    <row r="10" ht="15.75" customHeight="1">
      <c r="A10" s="80" t="s">
        <v>29</v>
      </c>
      <c r="B10" s="81">
        <v>190.0</v>
      </c>
      <c r="C10" s="28">
        <v>8.0</v>
      </c>
      <c r="D10" s="82">
        <f t="shared" ref="D10:D15" si="5">B10/(1.0278-(0.0278*C10))</f>
        <v>235.9076235</v>
      </c>
      <c r="E10" s="28">
        <v>175.0</v>
      </c>
      <c r="F10" s="28">
        <v>9.0</v>
      </c>
      <c r="G10" s="82">
        <f t="shared" ref="G10:G15" si="6">E10/(1.0278-(0.0278*F10))</f>
        <v>225.0514403</v>
      </c>
      <c r="H10" s="28">
        <v>175.0</v>
      </c>
      <c r="I10" s="28">
        <v>8.0</v>
      </c>
      <c r="J10" s="82">
        <f t="shared" ref="J10:J15" si="7">H10/(1.0278-(0.0278*I10))</f>
        <v>217.2833375</v>
      </c>
      <c r="K10" s="86">
        <f t="shared" ref="K10:K15" si="8">+B10*C10+E10*F10+H10*I10</f>
        <v>4495</v>
      </c>
      <c r="L10" s="87"/>
      <c r="M10" s="88"/>
      <c r="N10" s="37" t="str">
        <f>IF(OR(ISBLANK(D10), ISBLANK(G10), ISBLANK(J10), ISBLANK('WEEK 2'!N11)), "", ROUNDUP((((D10 + G10 + J10) / 3) - 'WEEK 2'!N11) / 'WEEK 2'!N11 * 100, 0) &amp; "% " &amp; IF(((D10 + G10 + J10) / 3) - 'WEEK 2'!N11 &gt; 0, "INCREASE", IF(((D10 + G10 + J10) / 3) - 'WEEK 2'!N11 &lt; 0, "DECREASE", "NO CHANGE")))</f>
        <v>-2% DECREASE</v>
      </c>
    </row>
    <row r="11" ht="15.75" customHeight="1">
      <c r="A11" s="80" t="s">
        <v>40</v>
      </c>
      <c r="B11" s="81">
        <v>40.0</v>
      </c>
      <c r="C11" s="28">
        <v>8.0</v>
      </c>
      <c r="D11" s="82">
        <f t="shared" si="5"/>
        <v>49.66476285</v>
      </c>
      <c r="E11" s="28">
        <v>40.0</v>
      </c>
      <c r="F11" s="28">
        <v>7.0</v>
      </c>
      <c r="G11" s="82">
        <f t="shared" si="6"/>
        <v>48.00768123</v>
      </c>
      <c r="H11" s="28">
        <v>40.0</v>
      </c>
      <c r="I11" s="28">
        <v>5.0</v>
      </c>
      <c r="J11" s="82">
        <f t="shared" si="7"/>
        <v>45.00450045</v>
      </c>
      <c r="K11" s="83">
        <f t="shared" si="8"/>
        <v>800</v>
      </c>
      <c r="L11" s="84"/>
      <c r="M11" s="85"/>
      <c r="N11" s="33" t="str">
        <f>IF(OR(ISBLANK(D11), ISBLANK(G11), ISBLANK(J11), ISBLANK('WEEK 2'!N12)), "", ROUNDUP((((D11 + G11 + J11) / 3) - 'WEEK 2'!N12) / 'WEEK 2'!N12 * 100, 0) &amp; "% " &amp; IF(((D11 + G11 + J11) / 3) - 'WEEK 2'!N12 &gt; 0, "INCREASE", IF(((D11 + G11 + J11) / 3) - 'WEEK 2'!N12 &lt; 0, "DECREASE", "NO CHANGE")))</f>
        <v>#DIV/0!</v>
      </c>
    </row>
    <row r="12" ht="15.75" customHeight="1">
      <c r="A12" s="80" t="s">
        <v>31</v>
      </c>
      <c r="B12" s="81">
        <v>125.0</v>
      </c>
      <c r="C12" s="28">
        <v>10.0</v>
      </c>
      <c r="D12" s="82">
        <f t="shared" si="5"/>
        <v>166.711123</v>
      </c>
      <c r="E12" s="28">
        <v>125.0</v>
      </c>
      <c r="F12" s="28">
        <v>8.0</v>
      </c>
      <c r="G12" s="82">
        <f t="shared" si="6"/>
        <v>155.2023839</v>
      </c>
      <c r="H12" s="28">
        <v>110.0</v>
      </c>
      <c r="I12" s="28">
        <v>10.0</v>
      </c>
      <c r="J12" s="82">
        <f t="shared" si="7"/>
        <v>146.7057882</v>
      </c>
      <c r="K12" s="86">
        <f t="shared" si="8"/>
        <v>3350</v>
      </c>
      <c r="L12" s="87"/>
      <c r="M12" s="88"/>
      <c r="N12" s="37" t="str">
        <f>IF(OR(ISBLANK(D12), ISBLANK(G12), ISBLANK(J12), ISBLANK('WEEK 2'!N13)), "", ROUNDUP((((D12 + G12 + J12) / 3) - 'WEEK 2'!N13) / 'WEEK 2'!N13 * 100, 0) &amp; "% " &amp; IF(((D12 + G12 + J12) / 3) - 'WEEK 2'!N13 &gt; 0, "INCREASE", IF(((D12 + G12 + J12) / 3) - 'WEEK 2'!N13 &lt; 0, "DECREASE", "NO CHANGE")))</f>
        <v>5% INCREASE</v>
      </c>
    </row>
    <row r="13" ht="15.75" customHeight="1">
      <c r="A13" s="80" t="s">
        <v>32</v>
      </c>
      <c r="B13" s="90"/>
      <c r="C13" s="38"/>
      <c r="D13" s="82">
        <f t="shared" si="5"/>
        <v>0</v>
      </c>
      <c r="E13" s="38"/>
      <c r="F13" s="38"/>
      <c r="G13" s="82">
        <f t="shared" si="6"/>
        <v>0</v>
      </c>
      <c r="H13" s="38"/>
      <c r="I13" s="38"/>
      <c r="J13" s="82">
        <f t="shared" si="7"/>
        <v>0</v>
      </c>
      <c r="K13" s="83">
        <f t="shared" si="8"/>
        <v>0</v>
      </c>
      <c r="L13" s="84"/>
      <c r="M13" s="85"/>
      <c r="N13" s="33" t="str">
        <f>IF(OR(ISBLANK(D13), ISBLANK(G13), ISBLANK(J13), ISBLANK('WEEK 2'!N14)), "", ROUNDUP((((D13 + G13 + J13) / 3) - 'WEEK 2'!N14) / 'WEEK 2'!N14 * 100, 0) &amp; "% " &amp; IF(((D13 + G13 + J13) / 3) - 'WEEK 2'!N14 &gt; 0, "INCREASE", IF(((D13 + G13 + J13) / 3) - 'WEEK 2'!N14 &lt; 0, "DECREASE", "NO CHANGE")))</f>
        <v>#DIV/0!</v>
      </c>
    </row>
    <row r="14" ht="15.75" customHeight="1">
      <c r="A14" s="80" t="s">
        <v>62</v>
      </c>
      <c r="B14" s="81">
        <v>120.0</v>
      </c>
      <c r="C14" s="28">
        <v>14.0</v>
      </c>
      <c r="D14" s="82">
        <f t="shared" si="5"/>
        <v>187.9110554</v>
      </c>
      <c r="E14" s="28">
        <v>120.0</v>
      </c>
      <c r="F14" s="28">
        <v>12.0</v>
      </c>
      <c r="G14" s="82">
        <f t="shared" si="6"/>
        <v>172.860847</v>
      </c>
      <c r="H14" s="28">
        <v>120.0</v>
      </c>
      <c r="I14" s="28">
        <v>12.0</v>
      </c>
      <c r="J14" s="82">
        <f t="shared" si="7"/>
        <v>172.860847</v>
      </c>
      <c r="K14" s="86">
        <f t="shared" si="8"/>
        <v>4560</v>
      </c>
      <c r="L14" s="87"/>
      <c r="M14" s="88"/>
      <c r="N14" s="37" t="str">
        <f>IF(OR(ISBLANK(D14), ISBLANK(G14), ISBLANK(J14), ISBLANK('WEEK 2'!N15)), "", ROUNDUP((((D14 + G14 + J14) / 3) - 'WEEK 2'!N15) / 'WEEK 2'!N15 * 100, 0) &amp; "% " &amp; IF(((D14 + G14 + J14) / 3) - 'WEEK 2'!N15 &gt; 0, "INCREASE", IF(((D14 + G14 + J14) / 3) - 'WEEK 2'!N15 &lt; 0, "DECREASE", "NO CHANGE")))</f>
        <v>8% INCREASE</v>
      </c>
    </row>
    <row r="15" ht="15.75" customHeight="1">
      <c r="A15" s="80" t="s">
        <v>34</v>
      </c>
      <c r="B15" s="81">
        <v>77.5</v>
      </c>
      <c r="C15" s="28">
        <v>12.0</v>
      </c>
      <c r="D15" s="82">
        <f t="shared" si="5"/>
        <v>111.639297</v>
      </c>
      <c r="E15" s="28">
        <v>77.5</v>
      </c>
      <c r="F15" s="28">
        <v>12.0</v>
      </c>
      <c r="G15" s="82">
        <f t="shared" si="6"/>
        <v>111.639297</v>
      </c>
      <c r="H15" s="28">
        <v>77.5</v>
      </c>
      <c r="I15" s="28">
        <v>12.0</v>
      </c>
      <c r="J15" s="82">
        <f t="shared" si="7"/>
        <v>111.639297</v>
      </c>
      <c r="K15" s="83">
        <f t="shared" si="8"/>
        <v>2790</v>
      </c>
      <c r="L15" s="84"/>
      <c r="M15" s="85"/>
      <c r="N15" s="33" t="str">
        <f>IF(OR(ISBLANK(D15), ISBLANK(G15), ISBLANK(J15), ISBLANK('WEEK 2'!N16)), "", ROUNDUP((((D15 + G15 + J15) / 3) - 'WEEK 2'!N16) / 'WEEK 2'!N16 * 100, 0) &amp; "% " &amp; IF(((D15 + G15 + J15) / 3) - 'WEEK 2'!N16 &gt; 0, "INCREASE", IF(((D15 + G15 + J15) / 3) - 'WEEK 2'!N16 &lt; 0, "DECREASE", "NO CHANGE")))</f>
        <v>-4% DECREASE</v>
      </c>
    </row>
    <row r="16" ht="16.5" customHeight="1">
      <c r="A16" s="73" t="s">
        <v>37</v>
      </c>
      <c r="B16" s="74" t="s">
        <v>10</v>
      </c>
      <c r="C16" s="75" t="s">
        <v>11</v>
      </c>
      <c r="D16" s="75" t="s">
        <v>12</v>
      </c>
      <c r="E16" s="75" t="s">
        <v>10</v>
      </c>
      <c r="F16" s="75" t="s">
        <v>11</v>
      </c>
      <c r="G16" s="75" t="s">
        <v>12</v>
      </c>
      <c r="H16" s="75" t="s">
        <v>10</v>
      </c>
      <c r="I16" s="75" t="s">
        <v>11</v>
      </c>
      <c r="J16" s="75" t="s">
        <v>12</v>
      </c>
      <c r="K16" s="76" t="s">
        <v>59</v>
      </c>
      <c r="L16" s="87"/>
      <c r="M16" s="88"/>
      <c r="N16" s="79" t="s">
        <v>60</v>
      </c>
    </row>
    <row r="17" ht="16.5" customHeight="1">
      <c r="A17" s="80" t="s">
        <v>38</v>
      </c>
      <c r="B17" s="90"/>
      <c r="C17" s="38"/>
      <c r="D17" s="82">
        <f t="shared" ref="D17:D21" si="9">B17/(1.0278-(0.0278*C17))</f>
        <v>0</v>
      </c>
      <c r="E17" s="38"/>
      <c r="F17" s="38"/>
      <c r="G17" s="82">
        <f t="shared" ref="G17:G21" si="10">E17/(1.0278-(0.0278*F17))</f>
        <v>0</v>
      </c>
      <c r="H17" s="38"/>
      <c r="I17" s="38"/>
      <c r="J17" s="82">
        <f t="shared" ref="J17:J21" si="11">H17/(1.0278-(0.0278*I17))</f>
        <v>0</v>
      </c>
      <c r="K17" s="83">
        <f t="shared" ref="K17:K21" si="12">+B17*C17+E17*F17+H17*I17</f>
        <v>0</v>
      </c>
      <c r="L17" s="84"/>
      <c r="M17" s="85"/>
      <c r="N17" s="33" t="str">
        <f>IF(OR(ISBLANK(D17), ISBLANK(G17), ISBLANK(J17), ISBLANK('WEEK 2'!N18)), "", ROUNDUP((((D17 + G17 + J17) / 3) - 'WEEK 2'!N18) / 'WEEK 2'!N18 * 100, 0) &amp; "% " &amp; IF(((D17 + G17 + J17) / 3) - 'WEEK 2'!N18 &gt; 0, "INCREASE", IF(((D17 + G17 + J17) / 3) - 'WEEK 2'!N18 &lt; 0, "DECREASE", "NO CHANGE")))</f>
        <v>#DIV/0!</v>
      </c>
    </row>
    <row r="18" ht="15.75" customHeight="1">
      <c r="A18" s="80" t="s">
        <v>40</v>
      </c>
      <c r="B18" s="90"/>
      <c r="C18" s="38"/>
      <c r="D18" s="82">
        <f t="shared" si="9"/>
        <v>0</v>
      </c>
      <c r="E18" s="38"/>
      <c r="F18" s="38"/>
      <c r="G18" s="82">
        <f t="shared" si="10"/>
        <v>0</v>
      </c>
      <c r="H18" s="38"/>
      <c r="I18" s="38"/>
      <c r="J18" s="82">
        <f t="shared" si="11"/>
        <v>0</v>
      </c>
      <c r="K18" s="86">
        <f t="shared" si="12"/>
        <v>0</v>
      </c>
      <c r="L18" s="87"/>
      <c r="M18" s="88"/>
      <c r="N18" s="37" t="str">
        <f>IF(OR(ISBLANK(D18), ISBLANK(G18), ISBLANK(J18), ISBLANK('WEEK 2'!N19)), "", ROUNDUP((((D18 + G18 + J18) / 3) - 'WEEK 2'!N19) / 'WEEK 2'!N19 * 100, 0) &amp; "% " &amp; IF(((D18 + G18 + J18) / 3) - 'WEEK 2'!N19 &gt; 0, "INCREASE", IF(((D18 + G18 + J18) / 3) - 'WEEK 2'!N19 &lt; 0, "DECREASE", "NO CHANGE")))</f>
        <v>#VALUE!</v>
      </c>
    </row>
    <row r="19" ht="15.75" customHeight="1">
      <c r="A19" s="80" t="s">
        <v>41</v>
      </c>
      <c r="B19" s="90"/>
      <c r="C19" s="38"/>
      <c r="D19" s="82">
        <f t="shared" si="9"/>
        <v>0</v>
      </c>
      <c r="E19" s="38"/>
      <c r="F19" s="38"/>
      <c r="G19" s="82">
        <f t="shared" si="10"/>
        <v>0</v>
      </c>
      <c r="H19" s="38"/>
      <c r="I19" s="38"/>
      <c r="J19" s="82">
        <f t="shared" si="11"/>
        <v>0</v>
      </c>
      <c r="K19" s="83">
        <f t="shared" si="12"/>
        <v>0</v>
      </c>
      <c r="L19" s="84"/>
      <c r="M19" s="85"/>
      <c r="N19" s="33" t="str">
        <f>IF(OR(ISBLANK(D19), ISBLANK(G19), ISBLANK(J19), ISBLANK('WEEK 2'!N20)), "", ROUNDUP((((D19 + G19 + J19) / 3) - 'WEEK 2'!N20) / 'WEEK 2'!N20 * 100, 0) &amp; "% " &amp; IF(((D19 + G19 + J19) / 3) - 'WEEK 2'!N20 &gt; 0, "INCREASE", IF(((D19 + G19 + J19) / 3) - 'WEEK 2'!N20 &lt; 0, "DECREASE", "NO CHANGE")))</f>
        <v>#DIV/0!</v>
      </c>
    </row>
    <row r="20" ht="16.5" customHeight="1">
      <c r="A20" s="80" t="s">
        <v>21</v>
      </c>
      <c r="B20" s="90"/>
      <c r="C20" s="38"/>
      <c r="D20" s="82">
        <f t="shared" si="9"/>
        <v>0</v>
      </c>
      <c r="E20" s="38"/>
      <c r="F20" s="38"/>
      <c r="G20" s="82">
        <f t="shared" si="10"/>
        <v>0</v>
      </c>
      <c r="H20" s="38"/>
      <c r="I20" s="38"/>
      <c r="J20" s="82">
        <f t="shared" si="11"/>
        <v>0</v>
      </c>
      <c r="K20" s="86">
        <f t="shared" si="12"/>
        <v>0</v>
      </c>
      <c r="L20" s="87"/>
      <c r="M20" s="88"/>
      <c r="N20" s="37" t="str">
        <f>IF(OR(ISBLANK(D20), ISBLANK(G20), ISBLANK(J20), ISBLANK('WEEK 2'!N21)), "", ROUNDUP((((D20 + G20 + J20) / 3) - 'WEEK 2'!N21) / 'WEEK 2'!N21 * 100, 0) &amp; "% " &amp; IF(((D20 + G20 + J20) / 3) - 'WEEK 2'!N21 &gt; 0, "INCREASE", IF(((D20 + G20 + J20) / 3) - 'WEEK 2'!N21 &lt; 0, "DECREASE", "NO CHANGE")))</f>
        <v>#DIV/0!</v>
      </c>
    </row>
    <row r="21" ht="15.75" customHeight="1">
      <c r="A21" s="80" t="s">
        <v>31</v>
      </c>
      <c r="B21" s="90"/>
      <c r="C21" s="38"/>
      <c r="D21" s="82">
        <f t="shared" si="9"/>
        <v>0</v>
      </c>
      <c r="E21" s="38"/>
      <c r="F21" s="38"/>
      <c r="G21" s="82">
        <f t="shared" si="10"/>
        <v>0</v>
      </c>
      <c r="H21" s="38"/>
      <c r="I21" s="38"/>
      <c r="J21" s="82">
        <f t="shared" si="11"/>
        <v>0</v>
      </c>
      <c r="K21" s="83">
        <f t="shared" si="12"/>
        <v>0</v>
      </c>
      <c r="L21" s="84"/>
      <c r="M21" s="85"/>
      <c r="N21" s="33" t="str">
        <f>IF(OR(ISBLANK(D21), ISBLANK(G21), ISBLANK(J21), ISBLANK('WEEK 2'!N22)), "", ROUNDUP((((D21 + G21 + J21) / 3) - 'WEEK 2'!N22) / 'WEEK 2'!N22 * 100, 0) &amp; "% " &amp; IF(((D21 + G21 + J21) / 3) - 'WEEK 2'!N22 &gt; 0, "INCREASE", IF(((D21 + G21 + J21) / 3) - 'WEEK 2'!N22 &lt; 0, "DECREASE", "NO CHANGE")))</f>
        <v>#DIV/0!</v>
      </c>
    </row>
    <row r="22" ht="17.25" customHeight="1">
      <c r="A22" s="73" t="s">
        <v>42</v>
      </c>
      <c r="B22" s="74" t="s">
        <v>10</v>
      </c>
      <c r="C22" s="75" t="s">
        <v>11</v>
      </c>
      <c r="D22" s="75" t="s">
        <v>12</v>
      </c>
      <c r="E22" s="75" t="s">
        <v>10</v>
      </c>
      <c r="F22" s="75" t="s">
        <v>11</v>
      </c>
      <c r="G22" s="75" t="s">
        <v>12</v>
      </c>
      <c r="H22" s="75" t="s">
        <v>10</v>
      </c>
      <c r="I22" s="75" t="s">
        <v>11</v>
      </c>
      <c r="J22" s="75" t="s">
        <v>12</v>
      </c>
      <c r="K22" s="76" t="s">
        <v>59</v>
      </c>
      <c r="L22" s="87"/>
      <c r="M22" s="88"/>
      <c r="N22" s="79" t="s">
        <v>60</v>
      </c>
    </row>
    <row r="23" ht="15.0" customHeight="1">
      <c r="A23" s="80" t="s">
        <v>63</v>
      </c>
      <c r="B23" s="81"/>
      <c r="C23" s="28"/>
      <c r="D23" s="82">
        <f t="shared" ref="D23:D28" si="13">B23/(1.0278-(0.0278*C23))</f>
        <v>0</v>
      </c>
      <c r="E23" s="28"/>
      <c r="F23" s="28"/>
      <c r="G23" s="82">
        <f t="shared" ref="G23:G28" si="14">E23/(1.0278-(0.0278*F23))</f>
        <v>0</v>
      </c>
      <c r="H23" s="28"/>
      <c r="I23" s="28"/>
      <c r="J23" s="82">
        <f t="shared" ref="J23:J28" si="15">H23/(1.0278-(0.0278*I23))</f>
        <v>0</v>
      </c>
      <c r="K23" s="83">
        <f t="shared" ref="K23:K28" si="16">+B23*C23+E23*F23+H23*I23</f>
        <v>0</v>
      </c>
      <c r="L23" s="84"/>
      <c r="M23" s="85"/>
      <c r="N23" s="33" t="str">
        <f>IF(OR(ISBLANK(D23), ISBLANK(G23), ISBLANK(J23), ISBLANK('WEEK 2'!N24)), "", ROUNDUP((((D23 + G23 + J23) / 3) - 'WEEK 2'!N24) / 'WEEK 2'!N24 * 100, 0) &amp; "% " &amp; IF(((D23 + G23 + J23) / 3) - 'WEEK 2'!N24 &gt; 0, "INCREASE", IF(((D23 + G23 + J23) / 3) - 'WEEK 2'!N24 &lt; 0, "DECREASE", "NO CHANGE")))</f>
        <v>#DIV/0!</v>
      </c>
    </row>
    <row r="24" ht="15.0" customHeight="1">
      <c r="A24" s="80" t="s">
        <v>62</v>
      </c>
      <c r="B24" s="81"/>
      <c r="C24" s="28"/>
      <c r="D24" s="82">
        <f t="shared" si="13"/>
        <v>0</v>
      </c>
      <c r="E24" s="28"/>
      <c r="F24" s="28"/>
      <c r="G24" s="82">
        <f t="shared" si="14"/>
        <v>0</v>
      </c>
      <c r="H24" s="28"/>
      <c r="I24" s="28"/>
      <c r="J24" s="82">
        <f t="shared" si="15"/>
        <v>0</v>
      </c>
      <c r="K24" s="86">
        <f t="shared" si="16"/>
        <v>0</v>
      </c>
      <c r="L24" s="87"/>
      <c r="M24" s="88"/>
      <c r="N24" s="37" t="str">
        <f>IF(OR(ISBLANK(D24), ISBLANK(G24), ISBLANK(J24), ISBLANK('WEEK 2'!N25)), "", ROUNDUP((((D24 + G24 + J24) / 3) - 'WEEK 2'!N25) / 'WEEK 2'!N25 * 100, 0) &amp; "% " &amp; IF(((D24 + G24 + J24) / 3) - 'WEEK 2'!N25 &gt; 0, "INCREASE", IF(((D24 + G24 + J24) / 3) - 'WEEK 2'!N25 &lt; 0, "DECREASE", "NO CHANGE")))</f>
        <v>#VALUE!</v>
      </c>
    </row>
    <row r="25" ht="15.0" customHeight="1">
      <c r="A25" s="80" t="s">
        <v>64</v>
      </c>
      <c r="B25" s="81"/>
      <c r="C25" s="28"/>
      <c r="D25" s="82">
        <f t="shared" si="13"/>
        <v>0</v>
      </c>
      <c r="E25" s="28"/>
      <c r="F25" s="28"/>
      <c r="G25" s="82">
        <f t="shared" si="14"/>
        <v>0</v>
      </c>
      <c r="H25" s="28"/>
      <c r="I25" s="28"/>
      <c r="J25" s="82">
        <f t="shared" si="15"/>
        <v>0</v>
      </c>
      <c r="K25" s="83">
        <f t="shared" si="16"/>
        <v>0</v>
      </c>
      <c r="L25" s="84"/>
      <c r="M25" s="85"/>
      <c r="N25" s="33" t="str">
        <f>IF(OR(ISBLANK(D25), ISBLANK(G25), ISBLANK(J25), ISBLANK('WEEK 2'!N26)), "", ROUNDUP((((D25 + G25 + J25) / 3) - 'WEEK 2'!N26) / 'WEEK 2'!N26 * 100, 0) &amp; "% " &amp; IF(((D25 + G25 + J25) / 3) - 'WEEK 2'!N26 &gt; 0, "INCREASE", IF(((D25 + G25 + J25) / 3) - 'WEEK 2'!N26 &lt; 0, "DECREASE", "NO CHANGE")))</f>
        <v>-100% DECREASE</v>
      </c>
    </row>
    <row r="26" ht="15.0" customHeight="1">
      <c r="A26" s="80" t="s">
        <v>47</v>
      </c>
      <c r="B26" s="81"/>
      <c r="C26" s="28"/>
      <c r="D26" s="82">
        <f t="shared" si="13"/>
        <v>0</v>
      </c>
      <c r="E26" s="28"/>
      <c r="F26" s="28"/>
      <c r="G26" s="82">
        <f t="shared" si="14"/>
        <v>0</v>
      </c>
      <c r="H26" s="28"/>
      <c r="I26" s="28"/>
      <c r="J26" s="82">
        <f t="shared" si="15"/>
        <v>0</v>
      </c>
      <c r="K26" s="86">
        <f t="shared" si="16"/>
        <v>0</v>
      </c>
      <c r="L26" s="87"/>
      <c r="M26" s="88"/>
      <c r="N26" s="37" t="str">
        <f>IF(OR(ISBLANK(D26), ISBLANK(G26), ISBLANK(J26), ISBLANK('WEEK 2'!N27)), "", ROUNDUP((((D26 + G26 + J26) / 3) - 'WEEK 2'!N27) / 'WEEK 2'!N27 * 100, 0) &amp; "% " &amp; IF(((D26 + G26 + J26) / 3) - 'WEEK 2'!N27 &gt; 0, "INCREASE", IF(((D26 + G26 + J26) / 3) - 'WEEK 2'!N27 &lt; 0, "DECREASE", "NO CHANGE")))</f>
        <v>-100% DECREASE</v>
      </c>
    </row>
    <row r="27" ht="15.0" customHeight="1">
      <c r="A27" s="80" t="s">
        <v>48</v>
      </c>
      <c r="B27" s="81"/>
      <c r="C27" s="28"/>
      <c r="D27" s="82">
        <f t="shared" si="13"/>
        <v>0</v>
      </c>
      <c r="E27" s="28"/>
      <c r="F27" s="28"/>
      <c r="G27" s="82">
        <f t="shared" si="14"/>
        <v>0</v>
      </c>
      <c r="H27" s="28"/>
      <c r="I27" s="28"/>
      <c r="J27" s="82">
        <f t="shared" si="15"/>
        <v>0</v>
      </c>
      <c r="K27" s="83">
        <f t="shared" si="16"/>
        <v>0</v>
      </c>
      <c r="L27" s="84"/>
      <c r="M27" s="85"/>
      <c r="N27" s="33" t="str">
        <f>IF(OR(ISBLANK(D27), ISBLANK(G27), ISBLANK(J27), ISBLANK('WEEK 2'!N28)), "", ROUNDUP((((D27 + G27 + J27) / 3) - 'WEEK 2'!N28) / 'WEEK 2'!N28 * 100, 0) &amp; "% " &amp; IF(((D27 + G27 + J27) / 3) - 'WEEK 2'!N28 &gt; 0, "INCREASE", IF(((D27 + G27 + J27) / 3) - 'WEEK 2'!N28 &lt; 0, "DECREASE", "NO CHANGE")))</f>
        <v>-100% DECREASE</v>
      </c>
    </row>
    <row r="28" ht="15.0" customHeight="1">
      <c r="A28" s="80" t="s">
        <v>57</v>
      </c>
      <c r="B28" s="81"/>
      <c r="C28" s="28"/>
      <c r="D28" s="82">
        <f t="shared" si="13"/>
        <v>0</v>
      </c>
      <c r="E28" s="28"/>
      <c r="F28" s="28"/>
      <c r="G28" s="82">
        <f t="shared" si="14"/>
        <v>0</v>
      </c>
      <c r="H28" s="28"/>
      <c r="I28" s="28"/>
      <c r="J28" s="82">
        <f t="shared" si="15"/>
        <v>0</v>
      </c>
      <c r="K28" s="86">
        <f t="shared" si="16"/>
        <v>0</v>
      </c>
      <c r="L28" s="87"/>
      <c r="M28" s="88"/>
      <c r="N28" s="37" t="str">
        <f>IF(OR(ISBLANK(D28), ISBLANK(G28), ISBLANK(J28), ISBLANK('WEEK 2'!N29)), "", ROUNDUP((((D28 + G28 + J28) / 3) - 'WEEK 2'!N29) / 'WEEK 2'!N29 * 100, 0) &amp; "% " &amp; IF(((D28 + G28 + J28) / 3) - 'WEEK 2'!N29 &gt; 0, "INCREASE", IF(((D28 + G28 + J28) / 3) - 'WEEK 2'!N29 &lt; 0, "DECREASE", "NO CHANGE")))</f>
        <v>-100% DECREASE</v>
      </c>
    </row>
  </sheetData>
  <mergeCells count="31">
    <mergeCell ref="B1:D1"/>
    <mergeCell ref="E1:G1"/>
    <mergeCell ref="H1:J1"/>
    <mergeCell ref="K1:M1"/>
    <mergeCell ref="K2:M2"/>
    <mergeCell ref="K3:M3"/>
    <mergeCell ref="K4:M4"/>
    <mergeCell ref="K5:M5"/>
    <mergeCell ref="K6:M6"/>
    <mergeCell ref="K7:M7"/>
    <mergeCell ref="K8:M8"/>
    <mergeCell ref="K9:M9"/>
    <mergeCell ref="K10:M10"/>
    <mergeCell ref="K11:M11"/>
    <mergeCell ref="K12:M12"/>
    <mergeCell ref="K13:M13"/>
    <mergeCell ref="K14:M14"/>
    <mergeCell ref="K15:M15"/>
    <mergeCell ref="K16:M16"/>
    <mergeCell ref="K17:M17"/>
    <mergeCell ref="K18:M18"/>
    <mergeCell ref="K26:M26"/>
    <mergeCell ref="K27:M27"/>
    <mergeCell ref="K28:M28"/>
    <mergeCell ref="K19:M19"/>
    <mergeCell ref="K20:M20"/>
    <mergeCell ref="K21:M21"/>
    <mergeCell ref="K22:M22"/>
    <mergeCell ref="K23:M23"/>
    <mergeCell ref="K24:M24"/>
    <mergeCell ref="K25:M25"/>
  </mergeCells>
  <printOptions/>
  <pageMargins bottom="0.75" footer="0.0" header="0.0" left="0.7" right="0.7" top="0.75"/>
  <pageSetup orientation="portrait"/>
  <headerFooter>
    <oddFooter>&amp;C000000&amp;P</oddFooter>
  </headerFooter>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32.38"/>
    <col customWidth="1" min="2" max="2" width="8.0"/>
    <col customWidth="1" min="3" max="3" width="7.63"/>
    <col customWidth="1" min="4" max="4" width="6.88"/>
    <col customWidth="1" min="5" max="5" width="8.13"/>
    <col customWidth="1" min="6" max="6" width="8.5"/>
    <col customWidth="1" min="7" max="7" width="6.25"/>
    <col customWidth="1" min="8" max="8" width="8.0"/>
    <col customWidth="1" min="9" max="9" width="8.13"/>
    <col customWidth="1" min="10" max="10" width="6.5"/>
    <col customWidth="1" min="11" max="11" width="10.88"/>
    <col customWidth="1" min="12" max="13" width="0.38"/>
    <col customWidth="1" min="14" max="14" width="18.25"/>
  </cols>
  <sheetData>
    <row r="1" ht="16.5" customHeight="1">
      <c r="A1" s="67" t="s">
        <v>58</v>
      </c>
      <c r="B1" s="68" t="s">
        <v>1</v>
      </c>
      <c r="C1" s="5"/>
      <c r="D1" s="6"/>
      <c r="E1" s="10" t="s">
        <v>2</v>
      </c>
      <c r="F1" s="5"/>
      <c r="G1" s="6"/>
      <c r="H1" s="10" t="s">
        <v>3</v>
      </c>
      <c r="I1" s="5"/>
      <c r="J1" s="6"/>
      <c r="K1" s="69" t="s">
        <v>59</v>
      </c>
      <c r="L1" s="70"/>
      <c r="M1" s="71"/>
      <c r="N1" s="72" t="s">
        <v>60</v>
      </c>
    </row>
    <row r="2" ht="16.5" customHeight="1">
      <c r="A2" s="73" t="s">
        <v>5</v>
      </c>
      <c r="B2" s="74" t="s">
        <v>10</v>
      </c>
      <c r="C2" s="75" t="s">
        <v>11</v>
      </c>
      <c r="D2" s="75" t="s">
        <v>12</v>
      </c>
      <c r="E2" s="75" t="s">
        <v>10</v>
      </c>
      <c r="F2" s="75" t="s">
        <v>11</v>
      </c>
      <c r="G2" s="75" t="s">
        <v>12</v>
      </c>
      <c r="H2" s="75" t="s">
        <v>10</v>
      </c>
      <c r="I2" s="75" t="s">
        <v>11</v>
      </c>
      <c r="J2" s="75" t="s">
        <v>12</v>
      </c>
      <c r="K2" s="76" t="s">
        <v>59</v>
      </c>
      <c r="L2" s="77"/>
      <c r="M2" s="78"/>
      <c r="N2" s="79" t="s">
        <v>60</v>
      </c>
    </row>
    <row r="3" ht="16.5" customHeight="1">
      <c r="A3" s="80" t="s">
        <v>14</v>
      </c>
      <c r="B3" s="81">
        <v>175.0</v>
      </c>
      <c r="C3" s="28">
        <v>6.0</v>
      </c>
      <c r="D3" s="82">
        <f t="shared" ref="D3:D8" si="1">B3/(1.0278-(0.0278*C3))</f>
        <v>203.2520325</v>
      </c>
      <c r="E3" s="28">
        <v>160.0</v>
      </c>
      <c r="F3" s="28">
        <v>9.0</v>
      </c>
      <c r="G3" s="82">
        <f t="shared" ref="G3:G8" si="2">E3/(1.0278-(0.0278*F3))</f>
        <v>205.7613169</v>
      </c>
      <c r="H3" s="28">
        <v>160.0</v>
      </c>
      <c r="I3" s="28">
        <v>8.0</v>
      </c>
      <c r="J3" s="82">
        <f t="shared" ref="J3:J8" si="3">H3/(1.0278-(0.0278*I3))</f>
        <v>198.6590514</v>
      </c>
      <c r="K3" s="83">
        <f t="shared" ref="K3:K8" si="4">+B3*C3+E3*F3+H3*I3</f>
        <v>3770</v>
      </c>
      <c r="L3" s="84"/>
      <c r="M3" s="85"/>
      <c r="N3" s="33" t="str">
        <f>IF(OR(ISBLANK(D3), ISBLANK(G3), ISBLANK(J3), ISBLANK('WEEK 2'!N4)), "", ROUNDUP((((D3 + G3 + J3) / 3) - 'WEEK 2'!N4) / 'WEEK 2'!N4 * 100, 0) &amp; "% " &amp; IF(((D3 + G3 + J3) / 3) - 'WEEK 2'!N4 &gt; 0, "INCREASE", IF(((D3 + G3 + J3) / 3) - 'WEEK 2'!N4 &lt; 0, "DECREASE", "NO CHANGE")))</f>
        <v>10% INCREASE</v>
      </c>
    </row>
    <row r="4" ht="16.5" customHeight="1">
      <c r="A4" s="80" t="s">
        <v>18</v>
      </c>
      <c r="B4" s="81"/>
      <c r="C4" s="28"/>
      <c r="D4" s="82">
        <f t="shared" si="1"/>
        <v>0</v>
      </c>
      <c r="E4" s="28"/>
      <c r="F4" s="28"/>
      <c r="G4" s="82">
        <f t="shared" si="2"/>
        <v>0</v>
      </c>
      <c r="H4" s="28"/>
      <c r="I4" s="28"/>
      <c r="J4" s="82">
        <f t="shared" si="3"/>
        <v>0</v>
      </c>
      <c r="K4" s="86">
        <f t="shared" si="4"/>
        <v>0</v>
      </c>
      <c r="L4" s="87"/>
      <c r="M4" s="88"/>
      <c r="N4" s="37" t="str">
        <f>IF(OR(ISBLANK(D4), ISBLANK(G4), ISBLANK(J4), ISBLANK('WEEK 2'!N5)), "", ROUNDUP((((D4 + G4 + J4) / 3) - 'WEEK 2'!N5) / 'WEEK 2'!N5 * 100, 0) &amp; "% " &amp; IF(((D4 + G4 + J4) / 3) - 'WEEK 2'!N5 &gt; 0, "INCREASE", IF(((D4 + G4 + J4) / 3) - 'WEEK 2'!N5 &lt; 0, "DECREASE", "NO CHANGE")))</f>
        <v>-100% DECREASE</v>
      </c>
    </row>
    <row r="5" ht="16.5" customHeight="1">
      <c r="A5" s="80" t="s">
        <v>20</v>
      </c>
      <c r="B5" s="81">
        <v>65.0</v>
      </c>
      <c r="C5" s="28">
        <v>10.0</v>
      </c>
      <c r="D5" s="82">
        <f t="shared" si="1"/>
        <v>86.68978394</v>
      </c>
      <c r="E5" s="28">
        <v>65.0</v>
      </c>
      <c r="F5" s="28">
        <v>9.0</v>
      </c>
      <c r="G5" s="82">
        <f t="shared" si="2"/>
        <v>83.59053498</v>
      </c>
      <c r="H5" s="28">
        <v>65.0</v>
      </c>
      <c r="I5" s="28">
        <v>10.0</v>
      </c>
      <c r="J5" s="82">
        <f t="shared" si="3"/>
        <v>86.68978394</v>
      </c>
      <c r="K5" s="83">
        <f t="shared" si="4"/>
        <v>1885</v>
      </c>
      <c r="L5" s="84"/>
      <c r="M5" s="85"/>
      <c r="N5" s="33" t="str">
        <f>IF(OR(ISBLANK(D5), ISBLANK(G5), ISBLANK(J5), ISBLANK('WEEK 2'!N6)), "", ROUNDUP((((D5 + G5 + J5) / 3) - 'WEEK 2'!N6) / 'WEEK 2'!N6 * 100, 0) &amp; "% " &amp; IF(((D5 + G5 + J5) / 3) - 'WEEK 2'!N6 &gt; 0, "INCREASE", IF(((D5 + G5 + J5) / 3) - 'WEEK 2'!N6 &lt; 0, "DECREASE", "NO CHANGE")))</f>
        <v>10% INCREASE</v>
      </c>
    </row>
    <row r="6" ht="16.5" customHeight="1">
      <c r="A6" s="80" t="s">
        <v>61</v>
      </c>
      <c r="B6" s="81">
        <v>20.0</v>
      </c>
      <c r="C6" s="28">
        <v>12.0</v>
      </c>
      <c r="D6" s="82">
        <f t="shared" si="1"/>
        <v>28.81014117</v>
      </c>
      <c r="E6" s="28">
        <v>20.0</v>
      </c>
      <c r="F6" s="28">
        <v>11.0</v>
      </c>
      <c r="G6" s="82">
        <f t="shared" si="2"/>
        <v>27.70083102</v>
      </c>
      <c r="H6" s="28">
        <v>25.0</v>
      </c>
      <c r="I6" s="28">
        <v>8.0</v>
      </c>
      <c r="J6" s="82">
        <f t="shared" si="3"/>
        <v>31.04047678</v>
      </c>
      <c r="K6" s="86">
        <f t="shared" si="4"/>
        <v>660</v>
      </c>
      <c r="L6" s="87"/>
      <c r="M6" s="88"/>
      <c r="N6" s="37" t="str">
        <f>IF(OR(ISBLANK(D6), ISBLANK(G6), ISBLANK(J6), ISBLANK('WEEK 2'!N7)), "", ROUNDUP((((D6 + G6 + J6) / 3) - 'WEEK 2'!N7) / 'WEEK 2'!N7 * 100, 0) &amp; "% " &amp; IF(((D6 + G6 + J6) / 3) - 'WEEK 2'!N7 &gt; 0, "INCREASE", IF(((D6 + G6 + J6) / 3) - 'WEEK 2'!N7 &lt; 0, "DECREASE", "NO CHANGE")))</f>
        <v>46% INCREASE</v>
      </c>
    </row>
    <row r="7" ht="16.5" customHeight="1">
      <c r="A7" s="80" t="s">
        <v>23</v>
      </c>
      <c r="B7" s="81">
        <v>145.0</v>
      </c>
      <c r="C7" s="28">
        <v>8.0</v>
      </c>
      <c r="D7" s="82">
        <f t="shared" si="1"/>
        <v>180.0347653</v>
      </c>
      <c r="E7" s="28">
        <v>145.0</v>
      </c>
      <c r="F7" s="28">
        <v>8.0</v>
      </c>
      <c r="G7" s="82">
        <f t="shared" si="2"/>
        <v>180.0347653</v>
      </c>
      <c r="H7" s="28">
        <v>145.0</v>
      </c>
      <c r="I7" s="28">
        <v>4.0</v>
      </c>
      <c r="J7" s="82">
        <f t="shared" si="3"/>
        <v>158.1933232</v>
      </c>
      <c r="K7" s="83">
        <f t="shared" si="4"/>
        <v>2900</v>
      </c>
      <c r="L7" s="84"/>
      <c r="M7" s="85"/>
      <c r="N7" s="33" t="str">
        <f>IF(OR(ISBLANK(D7), ISBLANK(G7), ISBLANK(J7), ISBLANK('WEEK 2'!N8)), "", ROUNDUP((((D7 + G7 + J7) / 3) - 'WEEK 2'!N8) / 'WEEK 2'!N8 * 100, 0) &amp; "% " &amp; IF(((D7 + G7 + J7) / 3) - 'WEEK 2'!N8 &gt; 0, "INCREASE", IF(((D7 + G7 + J7) / 3) - 'WEEK 2'!N8 &lt; 0, "DECREASE", "NO CHANGE")))</f>
        <v>-5% DECREASE</v>
      </c>
    </row>
    <row r="8" ht="16.5" customHeight="1">
      <c r="A8" s="80" t="s">
        <v>49</v>
      </c>
      <c r="B8" s="81"/>
      <c r="C8" s="28"/>
      <c r="D8" s="82">
        <f t="shared" si="1"/>
        <v>0</v>
      </c>
      <c r="E8" s="28"/>
      <c r="F8" s="28"/>
      <c r="G8" s="82">
        <f t="shared" si="2"/>
        <v>0</v>
      </c>
      <c r="H8" s="28"/>
      <c r="I8" s="28"/>
      <c r="J8" s="82">
        <f t="shared" si="3"/>
        <v>0</v>
      </c>
      <c r="K8" s="86">
        <f t="shared" si="4"/>
        <v>0</v>
      </c>
      <c r="L8" s="87"/>
      <c r="M8" s="88"/>
      <c r="N8" s="37" t="str">
        <f>IF(OR(ISBLANK(D8), ISBLANK(G8), ISBLANK(J8), ISBLANK('WEEK 2'!N9)), "", ROUNDUP((((D8 + G8 + J8) / 3) - 'WEEK 2'!N9) / 'WEEK 2'!N9 * 100, 0) &amp; "% " &amp; IF(((D8 + G8 + J8) / 3) - 'WEEK 2'!N9 &gt; 0, "INCREASE", IF(((D8 + G8 + J8) / 3) - 'WEEK 2'!N9 &lt; 0, "DECREASE", "NO CHANGE")))</f>
        <v>-100% DECREASE</v>
      </c>
    </row>
    <row r="9" ht="16.5" customHeight="1">
      <c r="A9" s="89" t="s">
        <v>27</v>
      </c>
      <c r="B9" s="74" t="s">
        <v>10</v>
      </c>
      <c r="C9" s="75" t="s">
        <v>11</v>
      </c>
      <c r="D9" s="75" t="s">
        <v>12</v>
      </c>
      <c r="E9" s="75" t="s">
        <v>10</v>
      </c>
      <c r="F9" s="75" t="s">
        <v>11</v>
      </c>
      <c r="G9" s="75" t="s">
        <v>12</v>
      </c>
      <c r="H9" s="75" t="s">
        <v>10</v>
      </c>
      <c r="I9" s="75" t="s">
        <v>11</v>
      </c>
      <c r="J9" s="75" t="s">
        <v>12</v>
      </c>
      <c r="K9" s="76" t="s">
        <v>59</v>
      </c>
      <c r="L9" s="84"/>
      <c r="M9" s="85"/>
      <c r="N9" s="79" t="s">
        <v>60</v>
      </c>
    </row>
    <row r="10" ht="15.75" customHeight="1">
      <c r="A10" s="80" t="s">
        <v>29</v>
      </c>
      <c r="B10" s="81">
        <v>190.0</v>
      </c>
      <c r="C10" s="28">
        <v>8.0</v>
      </c>
      <c r="D10" s="82">
        <f t="shared" ref="D10:D15" si="5">B10/(1.0278-(0.0278*C10))</f>
        <v>235.9076235</v>
      </c>
      <c r="E10" s="28">
        <v>175.0</v>
      </c>
      <c r="F10" s="28">
        <v>9.0</v>
      </c>
      <c r="G10" s="82">
        <f t="shared" ref="G10:G15" si="6">E10/(1.0278-(0.0278*F10))</f>
        <v>225.0514403</v>
      </c>
      <c r="H10" s="28">
        <v>175.0</v>
      </c>
      <c r="I10" s="28">
        <v>8.0</v>
      </c>
      <c r="J10" s="82">
        <f t="shared" ref="J10:J15" si="7">H10/(1.0278-(0.0278*I10))</f>
        <v>217.2833375</v>
      </c>
      <c r="K10" s="86">
        <f t="shared" ref="K10:K15" si="8">+B10*C10+E10*F10+H10*I10</f>
        <v>4495</v>
      </c>
      <c r="L10" s="87"/>
      <c r="M10" s="88"/>
      <c r="N10" s="37" t="str">
        <f>IF(OR(ISBLANK(D10), ISBLANK(G10), ISBLANK(J10), ISBLANK('WEEK 2'!N11)), "", ROUNDUP((((D10 + G10 + J10) / 3) - 'WEEK 2'!N11) / 'WEEK 2'!N11 * 100, 0) &amp; "% " &amp; IF(((D10 + G10 + J10) / 3) - 'WEEK 2'!N11 &gt; 0, "INCREASE", IF(((D10 + G10 + J10) / 3) - 'WEEK 2'!N11 &lt; 0, "DECREASE", "NO CHANGE")))</f>
        <v>-2% DECREASE</v>
      </c>
    </row>
    <row r="11" ht="15.75" customHeight="1">
      <c r="A11" s="80" t="s">
        <v>40</v>
      </c>
      <c r="B11" s="81">
        <v>40.0</v>
      </c>
      <c r="C11" s="28">
        <v>8.0</v>
      </c>
      <c r="D11" s="82">
        <f t="shared" si="5"/>
        <v>49.66476285</v>
      </c>
      <c r="E11" s="28">
        <v>40.0</v>
      </c>
      <c r="F11" s="28">
        <v>7.0</v>
      </c>
      <c r="G11" s="82">
        <f t="shared" si="6"/>
        <v>48.00768123</v>
      </c>
      <c r="H11" s="28">
        <v>40.0</v>
      </c>
      <c r="I11" s="28">
        <v>5.0</v>
      </c>
      <c r="J11" s="82">
        <f t="shared" si="7"/>
        <v>45.00450045</v>
      </c>
      <c r="K11" s="83">
        <f t="shared" si="8"/>
        <v>800</v>
      </c>
      <c r="L11" s="84"/>
      <c r="M11" s="85"/>
      <c r="N11" s="33" t="str">
        <f>IF(OR(ISBLANK(D11), ISBLANK(G11), ISBLANK(J11), ISBLANK('WEEK 2'!N12)), "", ROUNDUP((((D11 + G11 + J11) / 3) - 'WEEK 2'!N12) / 'WEEK 2'!N12 * 100, 0) &amp; "% " &amp; IF(((D11 + G11 + J11) / 3) - 'WEEK 2'!N12 &gt; 0, "INCREASE", IF(((D11 + G11 + J11) / 3) - 'WEEK 2'!N12 &lt; 0, "DECREASE", "NO CHANGE")))</f>
        <v>#DIV/0!</v>
      </c>
    </row>
    <row r="12" ht="15.75" customHeight="1">
      <c r="A12" s="80" t="s">
        <v>31</v>
      </c>
      <c r="B12" s="81">
        <v>125.0</v>
      </c>
      <c r="C12" s="28">
        <v>10.0</v>
      </c>
      <c r="D12" s="82">
        <f t="shared" si="5"/>
        <v>166.711123</v>
      </c>
      <c r="E12" s="28">
        <v>125.0</v>
      </c>
      <c r="F12" s="28">
        <v>8.0</v>
      </c>
      <c r="G12" s="82">
        <f t="shared" si="6"/>
        <v>155.2023839</v>
      </c>
      <c r="H12" s="28">
        <v>110.0</v>
      </c>
      <c r="I12" s="28">
        <v>10.0</v>
      </c>
      <c r="J12" s="82">
        <f t="shared" si="7"/>
        <v>146.7057882</v>
      </c>
      <c r="K12" s="86">
        <f t="shared" si="8"/>
        <v>3350</v>
      </c>
      <c r="L12" s="87"/>
      <c r="M12" s="88"/>
      <c r="N12" s="37" t="str">
        <f>IF(OR(ISBLANK(D12), ISBLANK(G12), ISBLANK(J12), ISBLANK('WEEK 2'!N13)), "", ROUNDUP((((D12 + G12 + J12) / 3) - 'WEEK 2'!N13) / 'WEEK 2'!N13 * 100, 0) &amp; "% " &amp; IF(((D12 + G12 + J12) / 3) - 'WEEK 2'!N13 &gt; 0, "INCREASE", IF(((D12 + G12 + J12) / 3) - 'WEEK 2'!N13 &lt; 0, "DECREASE", "NO CHANGE")))</f>
        <v>5% INCREASE</v>
      </c>
    </row>
    <row r="13" ht="15.75" customHeight="1">
      <c r="A13" s="80" t="s">
        <v>32</v>
      </c>
      <c r="B13" s="90"/>
      <c r="C13" s="38"/>
      <c r="D13" s="82">
        <f t="shared" si="5"/>
        <v>0</v>
      </c>
      <c r="E13" s="38"/>
      <c r="F13" s="38"/>
      <c r="G13" s="82">
        <f t="shared" si="6"/>
        <v>0</v>
      </c>
      <c r="H13" s="38"/>
      <c r="I13" s="38"/>
      <c r="J13" s="82">
        <f t="shared" si="7"/>
        <v>0</v>
      </c>
      <c r="K13" s="83">
        <f t="shared" si="8"/>
        <v>0</v>
      </c>
      <c r="L13" s="84"/>
      <c r="M13" s="85"/>
      <c r="N13" s="33" t="str">
        <f>IF(OR(ISBLANK(D13), ISBLANK(G13), ISBLANK(J13), ISBLANK('WEEK 2'!N14)), "", ROUNDUP((((D13 + G13 + J13) / 3) - 'WEEK 2'!N14) / 'WEEK 2'!N14 * 100, 0) &amp; "% " &amp; IF(((D13 + G13 + J13) / 3) - 'WEEK 2'!N14 &gt; 0, "INCREASE", IF(((D13 + G13 + J13) / 3) - 'WEEK 2'!N14 &lt; 0, "DECREASE", "NO CHANGE")))</f>
        <v>#DIV/0!</v>
      </c>
    </row>
    <row r="14" ht="15.75" customHeight="1">
      <c r="A14" s="80" t="s">
        <v>62</v>
      </c>
      <c r="B14" s="81">
        <v>120.0</v>
      </c>
      <c r="C14" s="28">
        <v>14.0</v>
      </c>
      <c r="D14" s="82">
        <f t="shared" si="5"/>
        <v>187.9110554</v>
      </c>
      <c r="E14" s="28">
        <v>120.0</v>
      </c>
      <c r="F14" s="28">
        <v>12.0</v>
      </c>
      <c r="G14" s="82">
        <f t="shared" si="6"/>
        <v>172.860847</v>
      </c>
      <c r="H14" s="28">
        <v>120.0</v>
      </c>
      <c r="I14" s="28">
        <v>12.0</v>
      </c>
      <c r="J14" s="82">
        <f t="shared" si="7"/>
        <v>172.860847</v>
      </c>
      <c r="K14" s="86">
        <f t="shared" si="8"/>
        <v>4560</v>
      </c>
      <c r="L14" s="87"/>
      <c r="M14" s="88"/>
      <c r="N14" s="37" t="str">
        <f>IF(OR(ISBLANK(D14), ISBLANK(G14), ISBLANK(J14), ISBLANK('WEEK 2'!N15)), "", ROUNDUP((((D14 + G14 + J14) / 3) - 'WEEK 2'!N15) / 'WEEK 2'!N15 * 100, 0) &amp; "% " &amp; IF(((D14 + G14 + J14) / 3) - 'WEEK 2'!N15 &gt; 0, "INCREASE", IF(((D14 + G14 + J14) / 3) - 'WEEK 2'!N15 &lt; 0, "DECREASE", "NO CHANGE")))</f>
        <v>8% INCREASE</v>
      </c>
    </row>
    <row r="15" ht="15.75" customHeight="1">
      <c r="A15" s="80" t="s">
        <v>34</v>
      </c>
      <c r="B15" s="81">
        <v>77.5</v>
      </c>
      <c r="C15" s="28">
        <v>12.0</v>
      </c>
      <c r="D15" s="82">
        <f t="shared" si="5"/>
        <v>111.639297</v>
      </c>
      <c r="E15" s="28">
        <v>77.5</v>
      </c>
      <c r="F15" s="28">
        <v>12.0</v>
      </c>
      <c r="G15" s="82">
        <f t="shared" si="6"/>
        <v>111.639297</v>
      </c>
      <c r="H15" s="28">
        <v>77.5</v>
      </c>
      <c r="I15" s="28">
        <v>12.0</v>
      </c>
      <c r="J15" s="82">
        <f t="shared" si="7"/>
        <v>111.639297</v>
      </c>
      <c r="K15" s="83">
        <f t="shared" si="8"/>
        <v>2790</v>
      </c>
      <c r="L15" s="84"/>
      <c r="M15" s="85"/>
      <c r="N15" s="33" t="str">
        <f>IF(OR(ISBLANK(D15), ISBLANK(G15), ISBLANK(J15), ISBLANK('WEEK 2'!N16)), "", ROUNDUP((((D15 + G15 + J15) / 3) - 'WEEK 2'!N16) / 'WEEK 2'!N16 * 100, 0) &amp; "% " &amp; IF(((D15 + G15 + J15) / 3) - 'WEEK 2'!N16 &gt; 0, "INCREASE", IF(((D15 + G15 + J15) / 3) - 'WEEK 2'!N16 &lt; 0, "DECREASE", "NO CHANGE")))</f>
        <v>-4% DECREASE</v>
      </c>
    </row>
    <row r="16" ht="16.5" customHeight="1">
      <c r="A16" s="73" t="s">
        <v>37</v>
      </c>
      <c r="B16" s="74" t="s">
        <v>10</v>
      </c>
      <c r="C16" s="75" t="s">
        <v>11</v>
      </c>
      <c r="D16" s="75" t="s">
        <v>12</v>
      </c>
      <c r="E16" s="75" t="s">
        <v>10</v>
      </c>
      <c r="F16" s="75" t="s">
        <v>11</v>
      </c>
      <c r="G16" s="75" t="s">
        <v>12</v>
      </c>
      <c r="H16" s="75" t="s">
        <v>10</v>
      </c>
      <c r="I16" s="75" t="s">
        <v>11</v>
      </c>
      <c r="J16" s="75" t="s">
        <v>12</v>
      </c>
      <c r="K16" s="76" t="s">
        <v>59</v>
      </c>
      <c r="L16" s="87"/>
      <c r="M16" s="88"/>
      <c r="N16" s="79" t="s">
        <v>60</v>
      </c>
    </row>
    <row r="17" ht="16.5" customHeight="1">
      <c r="A17" s="80" t="s">
        <v>38</v>
      </c>
      <c r="B17" s="90"/>
      <c r="C17" s="38"/>
      <c r="D17" s="82">
        <f t="shared" ref="D17:D21" si="9">B17/(1.0278-(0.0278*C17))</f>
        <v>0</v>
      </c>
      <c r="E17" s="38"/>
      <c r="F17" s="38"/>
      <c r="G17" s="82">
        <f t="shared" ref="G17:G21" si="10">E17/(1.0278-(0.0278*F17))</f>
        <v>0</v>
      </c>
      <c r="H17" s="38"/>
      <c r="I17" s="38"/>
      <c r="J17" s="82">
        <f t="shared" ref="J17:J21" si="11">H17/(1.0278-(0.0278*I17))</f>
        <v>0</v>
      </c>
      <c r="K17" s="83">
        <f t="shared" ref="K17:K21" si="12">+B17*C17+E17*F17+H17*I17</f>
        <v>0</v>
      </c>
      <c r="L17" s="84"/>
      <c r="M17" s="85"/>
      <c r="N17" s="33" t="str">
        <f>IF(OR(ISBLANK(D17), ISBLANK(G17), ISBLANK(J17), ISBLANK('WEEK 2'!N18)), "", ROUNDUP((((D17 + G17 + J17) / 3) - 'WEEK 2'!N18) / 'WEEK 2'!N18 * 100, 0) &amp; "% " &amp; IF(((D17 + G17 + J17) / 3) - 'WEEK 2'!N18 &gt; 0, "INCREASE", IF(((D17 + G17 + J17) / 3) - 'WEEK 2'!N18 &lt; 0, "DECREASE", "NO CHANGE")))</f>
        <v>#DIV/0!</v>
      </c>
    </row>
    <row r="18" ht="15.75" customHeight="1">
      <c r="A18" s="80" t="s">
        <v>40</v>
      </c>
      <c r="B18" s="90"/>
      <c r="C18" s="38"/>
      <c r="D18" s="82">
        <f t="shared" si="9"/>
        <v>0</v>
      </c>
      <c r="E18" s="38"/>
      <c r="F18" s="38"/>
      <c r="G18" s="82">
        <f t="shared" si="10"/>
        <v>0</v>
      </c>
      <c r="H18" s="38"/>
      <c r="I18" s="38"/>
      <c r="J18" s="82">
        <f t="shared" si="11"/>
        <v>0</v>
      </c>
      <c r="K18" s="86">
        <f t="shared" si="12"/>
        <v>0</v>
      </c>
      <c r="L18" s="87"/>
      <c r="M18" s="88"/>
      <c r="N18" s="37" t="str">
        <f>IF(OR(ISBLANK(D18), ISBLANK(G18), ISBLANK(J18), ISBLANK('WEEK 2'!N19)), "", ROUNDUP((((D18 + G18 + J18) / 3) - 'WEEK 2'!N19) / 'WEEK 2'!N19 * 100, 0) &amp; "% " &amp; IF(((D18 + G18 + J18) / 3) - 'WEEK 2'!N19 &gt; 0, "INCREASE", IF(((D18 + G18 + J18) / 3) - 'WEEK 2'!N19 &lt; 0, "DECREASE", "NO CHANGE")))</f>
        <v>#VALUE!</v>
      </c>
    </row>
    <row r="19" ht="15.75" customHeight="1">
      <c r="A19" s="80" t="s">
        <v>41</v>
      </c>
      <c r="B19" s="90"/>
      <c r="C19" s="38"/>
      <c r="D19" s="82">
        <f t="shared" si="9"/>
        <v>0</v>
      </c>
      <c r="E19" s="38"/>
      <c r="F19" s="38"/>
      <c r="G19" s="82">
        <f t="shared" si="10"/>
        <v>0</v>
      </c>
      <c r="H19" s="38"/>
      <c r="I19" s="38"/>
      <c r="J19" s="82">
        <f t="shared" si="11"/>
        <v>0</v>
      </c>
      <c r="K19" s="83">
        <f t="shared" si="12"/>
        <v>0</v>
      </c>
      <c r="L19" s="84"/>
      <c r="M19" s="85"/>
      <c r="N19" s="33" t="str">
        <f>IF(OR(ISBLANK(D19), ISBLANK(G19), ISBLANK(J19), ISBLANK('WEEK 2'!N20)), "", ROUNDUP((((D19 + G19 + J19) / 3) - 'WEEK 2'!N20) / 'WEEK 2'!N20 * 100, 0) &amp; "% " &amp; IF(((D19 + G19 + J19) / 3) - 'WEEK 2'!N20 &gt; 0, "INCREASE", IF(((D19 + G19 + J19) / 3) - 'WEEK 2'!N20 &lt; 0, "DECREASE", "NO CHANGE")))</f>
        <v>#DIV/0!</v>
      </c>
    </row>
    <row r="20" ht="16.5" customHeight="1">
      <c r="A20" s="80" t="s">
        <v>21</v>
      </c>
      <c r="B20" s="90"/>
      <c r="C20" s="38"/>
      <c r="D20" s="82">
        <f t="shared" si="9"/>
        <v>0</v>
      </c>
      <c r="E20" s="38"/>
      <c r="F20" s="38"/>
      <c r="G20" s="82">
        <f t="shared" si="10"/>
        <v>0</v>
      </c>
      <c r="H20" s="38"/>
      <c r="I20" s="38"/>
      <c r="J20" s="82">
        <f t="shared" si="11"/>
        <v>0</v>
      </c>
      <c r="K20" s="86">
        <f t="shared" si="12"/>
        <v>0</v>
      </c>
      <c r="L20" s="87"/>
      <c r="M20" s="88"/>
      <c r="N20" s="37" t="str">
        <f>IF(OR(ISBLANK(D20), ISBLANK(G20), ISBLANK(J20), ISBLANK('WEEK 2'!N21)), "", ROUNDUP((((D20 + G20 + J20) / 3) - 'WEEK 2'!N21) / 'WEEK 2'!N21 * 100, 0) &amp; "% " &amp; IF(((D20 + G20 + J20) / 3) - 'WEEK 2'!N21 &gt; 0, "INCREASE", IF(((D20 + G20 + J20) / 3) - 'WEEK 2'!N21 &lt; 0, "DECREASE", "NO CHANGE")))</f>
        <v>#DIV/0!</v>
      </c>
    </row>
    <row r="21" ht="15.75" customHeight="1">
      <c r="A21" s="80" t="s">
        <v>31</v>
      </c>
      <c r="B21" s="90"/>
      <c r="C21" s="38"/>
      <c r="D21" s="82">
        <f t="shared" si="9"/>
        <v>0</v>
      </c>
      <c r="E21" s="38"/>
      <c r="F21" s="38"/>
      <c r="G21" s="82">
        <f t="shared" si="10"/>
        <v>0</v>
      </c>
      <c r="H21" s="38"/>
      <c r="I21" s="38"/>
      <c r="J21" s="82">
        <f t="shared" si="11"/>
        <v>0</v>
      </c>
      <c r="K21" s="83">
        <f t="shared" si="12"/>
        <v>0</v>
      </c>
      <c r="L21" s="84"/>
      <c r="M21" s="85"/>
      <c r="N21" s="33" t="str">
        <f>IF(OR(ISBLANK(D21), ISBLANK(G21), ISBLANK(J21), ISBLANK('WEEK 2'!N22)), "", ROUNDUP((((D21 + G21 + J21) / 3) - 'WEEK 2'!N22) / 'WEEK 2'!N22 * 100, 0) &amp; "% " &amp; IF(((D21 + G21 + J21) / 3) - 'WEEK 2'!N22 &gt; 0, "INCREASE", IF(((D21 + G21 + J21) / 3) - 'WEEK 2'!N22 &lt; 0, "DECREASE", "NO CHANGE")))</f>
        <v>#DIV/0!</v>
      </c>
    </row>
    <row r="22" ht="17.25" customHeight="1">
      <c r="A22" s="73" t="s">
        <v>42</v>
      </c>
      <c r="B22" s="74" t="s">
        <v>10</v>
      </c>
      <c r="C22" s="75" t="s">
        <v>11</v>
      </c>
      <c r="D22" s="75" t="s">
        <v>12</v>
      </c>
      <c r="E22" s="75" t="s">
        <v>10</v>
      </c>
      <c r="F22" s="75" t="s">
        <v>11</v>
      </c>
      <c r="G22" s="75" t="s">
        <v>12</v>
      </c>
      <c r="H22" s="75" t="s">
        <v>10</v>
      </c>
      <c r="I22" s="75" t="s">
        <v>11</v>
      </c>
      <c r="J22" s="75" t="s">
        <v>12</v>
      </c>
      <c r="K22" s="76" t="s">
        <v>59</v>
      </c>
      <c r="L22" s="87"/>
      <c r="M22" s="88"/>
      <c r="N22" s="79" t="s">
        <v>60</v>
      </c>
    </row>
    <row r="23" ht="15.0" customHeight="1">
      <c r="A23" s="80" t="s">
        <v>63</v>
      </c>
      <c r="B23" s="81"/>
      <c r="C23" s="28"/>
      <c r="D23" s="82">
        <f t="shared" ref="D23:D28" si="13">B23/(1.0278-(0.0278*C23))</f>
        <v>0</v>
      </c>
      <c r="E23" s="28"/>
      <c r="F23" s="28"/>
      <c r="G23" s="82">
        <f t="shared" ref="G23:G28" si="14">E23/(1.0278-(0.0278*F23))</f>
        <v>0</v>
      </c>
      <c r="H23" s="28"/>
      <c r="I23" s="28"/>
      <c r="J23" s="82">
        <f t="shared" ref="J23:J28" si="15">H23/(1.0278-(0.0278*I23))</f>
        <v>0</v>
      </c>
      <c r="K23" s="83">
        <f t="shared" ref="K23:K28" si="16">+B23*C23+E23*F23+H23*I23</f>
        <v>0</v>
      </c>
      <c r="L23" s="84"/>
      <c r="M23" s="85"/>
      <c r="N23" s="33" t="str">
        <f>IF(OR(ISBLANK(D23), ISBLANK(G23), ISBLANK(J23), ISBLANK('WEEK 2'!N24)), "", ROUNDUP((((D23 + G23 + J23) / 3) - 'WEEK 2'!N24) / 'WEEK 2'!N24 * 100, 0) &amp; "% " &amp; IF(((D23 + G23 + J23) / 3) - 'WEEK 2'!N24 &gt; 0, "INCREASE", IF(((D23 + G23 + J23) / 3) - 'WEEK 2'!N24 &lt; 0, "DECREASE", "NO CHANGE")))</f>
        <v>#DIV/0!</v>
      </c>
    </row>
    <row r="24" ht="15.0" customHeight="1">
      <c r="A24" s="80" t="s">
        <v>62</v>
      </c>
      <c r="B24" s="81"/>
      <c r="C24" s="28"/>
      <c r="D24" s="82">
        <f t="shared" si="13"/>
        <v>0</v>
      </c>
      <c r="E24" s="28"/>
      <c r="F24" s="28"/>
      <c r="G24" s="82">
        <f t="shared" si="14"/>
        <v>0</v>
      </c>
      <c r="H24" s="28"/>
      <c r="I24" s="28"/>
      <c r="J24" s="82">
        <f t="shared" si="15"/>
        <v>0</v>
      </c>
      <c r="K24" s="86">
        <f t="shared" si="16"/>
        <v>0</v>
      </c>
      <c r="L24" s="87"/>
      <c r="M24" s="88"/>
      <c r="N24" s="37" t="str">
        <f>IF(OR(ISBLANK(D24), ISBLANK(G24), ISBLANK(J24), ISBLANK('WEEK 2'!N25)), "", ROUNDUP((((D24 + G24 + J24) / 3) - 'WEEK 2'!N25) / 'WEEK 2'!N25 * 100, 0) &amp; "% " &amp; IF(((D24 + G24 + J24) / 3) - 'WEEK 2'!N25 &gt; 0, "INCREASE", IF(((D24 + G24 + J24) / 3) - 'WEEK 2'!N25 &lt; 0, "DECREASE", "NO CHANGE")))</f>
        <v>#VALUE!</v>
      </c>
    </row>
    <row r="25" ht="15.0" customHeight="1">
      <c r="A25" s="80" t="s">
        <v>64</v>
      </c>
      <c r="B25" s="81"/>
      <c r="C25" s="28"/>
      <c r="D25" s="82">
        <f t="shared" si="13"/>
        <v>0</v>
      </c>
      <c r="E25" s="28"/>
      <c r="F25" s="28"/>
      <c r="G25" s="82">
        <f t="shared" si="14"/>
        <v>0</v>
      </c>
      <c r="H25" s="28"/>
      <c r="I25" s="28"/>
      <c r="J25" s="82">
        <f t="shared" si="15"/>
        <v>0</v>
      </c>
      <c r="K25" s="83">
        <f t="shared" si="16"/>
        <v>0</v>
      </c>
      <c r="L25" s="84"/>
      <c r="M25" s="85"/>
      <c r="N25" s="33" t="str">
        <f>IF(OR(ISBLANK(D25), ISBLANK(G25), ISBLANK(J25), ISBLANK('WEEK 2'!N26)), "", ROUNDUP((((D25 + G25 + J25) / 3) - 'WEEK 2'!N26) / 'WEEK 2'!N26 * 100, 0) &amp; "% " &amp; IF(((D25 + G25 + J25) / 3) - 'WEEK 2'!N26 &gt; 0, "INCREASE", IF(((D25 + G25 + J25) / 3) - 'WEEK 2'!N26 &lt; 0, "DECREASE", "NO CHANGE")))</f>
        <v>-100% DECREASE</v>
      </c>
    </row>
    <row r="26" ht="15.0" customHeight="1">
      <c r="A26" s="80" t="s">
        <v>47</v>
      </c>
      <c r="B26" s="81"/>
      <c r="C26" s="28"/>
      <c r="D26" s="82">
        <f t="shared" si="13"/>
        <v>0</v>
      </c>
      <c r="E26" s="28"/>
      <c r="F26" s="28"/>
      <c r="G26" s="82">
        <f t="shared" si="14"/>
        <v>0</v>
      </c>
      <c r="H26" s="28"/>
      <c r="I26" s="28"/>
      <c r="J26" s="82">
        <f t="shared" si="15"/>
        <v>0</v>
      </c>
      <c r="K26" s="86">
        <f t="shared" si="16"/>
        <v>0</v>
      </c>
      <c r="L26" s="87"/>
      <c r="M26" s="88"/>
      <c r="N26" s="37" t="str">
        <f>IF(OR(ISBLANK(D26), ISBLANK(G26), ISBLANK(J26), ISBLANK('WEEK 2'!N27)), "", ROUNDUP((((D26 + G26 + J26) / 3) - 'WEEK 2'!N27) / 'WEEK 2'!N27 * 100, 0) &amp; "% " &amp; IF(((D26 + G26 + J26) / 3) - 'WEEK 2'!N27 &gt; 0, "INCREASE", IF(((D26 + G26 + J26) / 3) - 'WEEK 2'!N27 &lt; 0, "DECREASE", "NO CHANGE")))</f>
        <v>-100% DECREASE</v>
      </c>
    </row>
    <row r="27" ht="15.0" customHeight="1">
      <c r="A27" s="80" t="s">
        <v>48</v>
      </c>
      <c r="B27" s="81"/>
      <c r="C27" s="28"/>
      <c r="D27" s="82">
        <f t="shared" si="13"/>
        <v>0</v>
      </c>
      <c r="E27" s="28"/>
      <c r="F27" s="28"/>
      <c r="G27" s="82">
        <f t="shared" si="14"/>
        <v>0</v>
      </c>
      <c r="H27" s="28"/>
      <c r="I27" s="28"/>
      <c r="J27" s="82">
        <f t="shared" si="15"/>
        <v>0</v>
      </c>
      <c r="K27" s="83">
        <f t="shared" si="16"/>
        <v>0</v>
      </c>
      <c r="L27" s="84"/>
      <c r="M27" s="85"/>
      <c r="N27" s="33" t="str">
        <f>IF(OR(ISBLANK(D27), ISBLANK(G27), ISBLANK(J27), ISBLANK('WEEK 2'!N28)), "", ROUNDUP((((D27 + G27 + J27) / 3) - 'WEEK 2'!N28) / 'WEEK 2'!N28 * 100, 0) &amp; "% " &amp; IF(((D27 + G27 + J27) / 3) - 'WEEK 2'!N28 &gt; 0, "INCREASE", IF(((D27 + G27 + J27) / 3) - 'WEEK 2'!N28 &lt; 0, "DECREASE", "NO CHANGE")))</f>
        <v>-100% DECREASE</v>
      </c>
    </row>
    <row r="28" ht="15.0" customHeight="1">
      <c r="A28" s="80" t="s">
        <v>57</v>
      </c>
      <c r="B28" s="81"/>
      <c r="C28" s="28"/>
      <c r="D28" s="82">
        <f t="shared" si="13"/>
        <v>0</v>
      </c>
      <c r="E28" s="28"/>
      <c r="F28" s="28"/>
      <c r="G28" s="82">
        <f t="shared" si="14"/>
        <v>0</v>
      </c>
      <c r="H28" s="28"/>
      <c r="I28" s="28"/>
      <c r="J28" s="82">
        <f t="shared" si="15"/>
        <v>0</v>
      </c>
      <c r="K28" s="86">
        <f t="shared" si="16"/>
        <v>0</v>
      </c>
      <c r="L28" s="87"/>
      <c r="M28" s="88"/>
      <c r="N28" s="37" t="str">
        <f>IF(OR(ISBLANK(D28), ISBLANK(G28), ISBLANK(J28), ISBLANK('WEEK 2'!N29)), "", ROUNDUP((((D28 + G28 + J28) / 3) - 'WEEK 2'!N29) / 'WEEK 2'!N29 * 100, 0) &amp; "% " &amp; IF(((D28 + G28 + J28) / 3) - 'WEEK 2'!N29 &gt; 0, "INCREASE", IF(((D28 + G28 + J28) / 3) - 'WEEK 2'!N29 &lt; 0, "DECREASE", "NO CHANGE")))</f>
        <v>-100% DECREASE</v>
      </c>
    </row>
  </sheetData>
  <mergeCells count="31">
    <mergeCell ref="B1:D1"/>
    <mergeCell ref="E1:G1"/>
    <mergeCell ref="H1:J1"/>
    <mergeCell ref="K1:M1"/>
    <mergeCell ref="K2:M2"/>
    <mergeCell ref="K3:M3"/>
    <mergeCell ref="K4:M4"/>
    <mergeCell ref="K5:M5"/>
    <mergeCell ref="K6:M6"/>
    <mergeCell ref="K7:M7"/>
    <mergeCell ref="K8:M8"/>
    <mergeCell ref="K9:M9"/>
    <mergeCell ref="K10:M10"/>
    <mergeCell ref="K11:M11"/>
    <mergeCell ref="K12:M12"/>
    <mergeCell ref="K13:M13"/>
    <mergeCell ref="K14:M14"/>
    <mergeCell ref="K15:M15"/>
    <mergeCell ref="K16:M16"/>
    <mergeCell ref="K17:M17"/>
    <mergeCell ref="K18:M18"/>
    <mergeCell ref="K26:M26"/>
    <mergeCell ref="K27:M27"/>
    <mergeCell ref="K28:M28"/>
    <mergeCell ref="K19:M19"/>
    <mergeCell ref="K20:M20"/>
    <mergeCell ref="K21:M21"/>
    <mergeCell ref="K22:M22"/>
    <mergeCell ref="K23:M23"/>
    <mergeCell ref="K24:M24"/>
    <mergeCell ref="K25:M25"/>
  </mergeCells>
  <printOptions/>
  <pageMargins bottom="0.75" footer="0.0" header="0.0" left="0.7" right="0.7" top="0.75"/>
  <pageSetup orientation="portrait"/>
  <headerFooter>
    <oddFooter>&amp;C000000&amp;P</oddFooter>
  </headerFooter>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32.38"/>
    <col customWidth="1" min="2" max="2" width="8.0"/>
    <col customWidth="1" min="3" max="3" width="7.63"/>
    <col customWidth="1" min="4" max="4" width="6.88"/>
    <col customWidth="1" min="5" max="5" width="8.13"/>
    <col customWidth="1" min="6" max="6" width="8.5"/>
    <col customWidth="1" min="7" max="7" width="6.25"/>
    <col customWidth="1" min="8" max="8" width="8.0"/>
    <col customWidth="1" min="9" max="9" width="8.13"/>
    <col customWidth="1" min="10" max="10" width="6.5"/>
    <col customWidth="1" min="11" max="11" width="10.88"/>
    <col customWidth="1" min="12" max="13" width="0.38"/>
    <col customWidth="1" min="14" max="14" width="18.25"/>
  </cols>
  <sheetData>
    <row r="1" ht="16.5" customHeight="1">
      <c r="A1" s="67" t="s">
        <v>58</v>
      </c>
      <c r="B1" s="68" t="s">
        <v>1</v>
      </c>
      <c r="C1" s="5"/>
      <c r="D1" s="6"/>
      <c r="E1" s="10" t="s">
        <v>2</v>
      </c>
      <c r="F1" s="5"/>
      <c r="G1" s="6"/>
      <c r="H1" s="10" t="s">
        <v>3</v>
      </c>
      <c r="I1" s="5"/>
      <c r="J1" s="6"/>
      <c r="K1" s="69" t="s">
        <v>59</v>
      </c>
      <c r="L1" s="70"/>
      <c r="M1" s="71"/>
      <c r="N1" s="72" t="s">
        <v>60</v>
      </c>
    </row>
    <row r="2" ht="16.5" customHeight="1">
      <c r="A2" s="73" t="s">
        <v>5</v>
      </c>
      <c r="B2" s="74" t="s">
        <v>10</v>
      </c>
      <c r="C2" s="75" t="s">
        <v>11</v>
      </c>
      <c r="D2" s="75" t="s">
        <v>12</v>
      </c>
      <c r="E2" s="75" t="s">
        <v>10</v>
      </c>
      <c r="F2" s="75" t="s">
        <v>11</v>
      </c>
      <c r="G2" s="75" t="s">
        <v>12</v>
      </c>
      <c r="H2" s="75" t="s">
        <v>10</v>
      </c>
      <c r="I2" s="75" t="s">
        <v>11</v>
      </c>
      <c r="J2" s="75" t="s">
        <v>12</v>
      </c>
      <c r="K2" s="76" t="s">
        <v>59</v>
      </c>
      <c r="L2" s="77"/>
      <c r="M2" s="78"/>
      <c r="N2" s="79" t="s">
        <v>60</v>
      </c>
    </row>
    <row r="3" ht="16.5" customHeight="1">
      <c r="A3" s="80" t="s">
        <v>14</v>
      </c>
      <c r="B3" s="81">
        <v>175.0</v>
      </c>
      <c r="C3" s="28">
        <v>6.0</v>
      </c>
      <c r="D3" s="82">
        <f t="shared" ref="D3:D8" si="1">B3/(1.0278-(0.0278*C3))</f>
        <v>203.2520325</v>
      </c>
      <c r="E3" s="28">
        <v>160.0</v>
      </c>
      <c r="F3" s="28">
        <v>9.0</v>
      </c>
      <c r="G3" s="82">
        <f t="shared" ref="G3:G8" si="2">E3/(1.0278-(0.0278*F3))</f>
        <v>205.7613169</v>
      </c>
      <c r="H3" s="28">
        <v>160.0</v>
      </c>
      <c r="I3" s="28">
        <v>8.0</v>
      </c>
      <c r="J3" s="82">
        <f t="shared" ref="J3:J8" si="3">H3/(1.0278-(0.0278*I3))</f>
        <v>198.6590514</v>
      </c>
      <c r="K3" s="83">
        <f t="shared" ref="K3:K8" si="4">+B3*C3+E3*F3+H3*I3</f>
        <v>3770</v>
      </c>
      <c r="L3" s="84"/>
      <c r="M3" s="85"/>
      <c r="N3" s="33" t="str">
        <f>IF(OR(ISBLANK(D3), ISBLANK(G3), ISBLANK(J3), ISBLANK('WEEK 2'!N4)), "", ROUNDUP((((D3 + G3 + J3) / 3) - 'WEEK 2'!N4) / 'WEEK 2'!N4 * 100, 0) &amp; "% " &amp; IF(((D3 + G3 + J3) / 3) - 'WEEK 2'!N4 &gt; 0, "INCREASE", IF(((D3 + G3 + J3) / 3) - 'WEEK 2'!N4 &lt; 0, "DECREASE", "NO CHANGE")))</f>
        <v>10% INCREASE</v>
      </c>
    </row>
    <row r="4" ht="16.5" customHeight="1">
      <c r="A4" s="80" t="s">
        <v>18</v>
      </c>
      <c r="B4" s="81"/>
      <c r="C4" s="28"/>
      <c r="D4" s="82">
        <f t="shared" si="1"/>
        <v>0</v>
      </c>
      <c r="E4" s="28"/>
      <c r="F4" s="28"/>
      <c r="G4" s="82">
        <f t="shared" si="2"/>
        <v>0</v>
      </c>
      <c r="H4" s="28"/>
      <c r="I4" s="28"/>
      <c r="J4" s="82">
        <f t="shared" si="3"/>
        <v>0</v>
      </c>
      <c r="K4" s="86">
        <f t="shared" si="4"/>
        <v>0</v>
      </c>
      <c r="L4" s="87"/>
      <c r="M4" s="88"/>
      <c r="N4" s="37" t="str">
        <f>IF(OR(ISBLANK(D4), ISBLANK(G4), ISBLANK(J4), ISBLANK('WEEK 2'!N5)), "", ROUNDUP((((D4 + G4 + J4) / 3) - 'WEEK 2'!N5) / 'WEEK 2'!N5 * 100, 0) &amp; "% " &amp; IF(((D4 + G4 + J4) / 3) - 'WEEK 2'!N5 &gt; 0, "INCREASE", IF(((D4 + G4 + J4) / 3) - 'WEEK 2'!N5 &lt; 0, "DECREASE", "NO CHANGE")))</f>
        <v>-100% DECREASE</v>
      </c>
    </row>
    <row r="5" ht="16.5" customHeight="1">
      <c r="A5" s="80" t="s">
        <v>20</v>
      </c>
      <c r="B5" s="81">
        <v>65.0</v>
      </c>
      <c r="C5" s="28">
        <v>10.0</v>
      </c>
      <c r="D5" s="82">
        <f t="shared" si="1"/>
        <v>86.68978394</v>
      </c>
      <c r="E5" s="28">
        <v>65.0</v>
      </c>
      <c r="F5" s="28">
        <v>9.0</v>
      </c>
      <c r="G5" s="82">
        <f t="shared" si="2"/>
        <v>83.59053498</v>
      </c>
      <c r="H5" s="28">
        <v>65.0</v>
      </c>
      <c r="I5" s="28">
        <v>10.0</v>
      </c>
      <c r="J5" s="82">
        <f t="shared" si="3"/>
        <v>86.68978394</v>
      </c>
      <c r="K5" s="83">
        <f t="shared" si="4"/>
        <v>1885</v>
      </c>
      <c r="L5" s="84"/>
      <c r="M5" s="85"/>
      <c r="N5" s="33" t="str">
        <f>IF(OR(ISBLANK(D5), ISBLANK(G5), ISBLANK(J5), ISBLANK('WEEK 2'!N6)), "", ROUNDUP((((D5 + G5 + J5) / 3) - 'WEEK 2'!N6) / 'WEEK 2'!N6 * 100, 0) &amp; "% " &amp; IF(((D5 + G5 + J5) / 3) - 'WEEK 2'!N6 &gt; 0, "INCREASE", IF(((D5 + G5 + J5) / 3) - 'WEEK 2'!N6 &lt; 0, "DECREASE", "NO CHANGE")))</f>
        <v>10% INCREASE</v>
      </c>
    </row>
    <row r="6" ht="16.5" customHeight="1">
      <c r="A6" s="80" t="s">
        <v>61</v>
      </c>
      <c r="B6" s="81">
        <v>20.0</v>
      </c>
      <c r="C6" s="28">
        <v>12.0</v>
      </c>
      <c r="D6" s="82">
        <f t="shared" si="1"/>
        <v>28.81014117</v>
      </c>
      <c r="E6" s="28">
        <v>20.0</v>
      </c>
      <c r="F6" s="28">
        <v>11.0</v>
      </c>
      <c r="G6" s="82">
        <f t="shared" si="2"/>
        <v>27.70083102</v>
      </c>
      <c r="H6" s="28">
        <v>25.0</v>
      </c>
      <c r="I6" s="28">
        <v>8.0</v>
      </c>
      <c r="J6" s="82">
        <f t="shared" si="3"/>
        <v>31.04047678</v>
      </c>
      <c r="K6" s="86">
        <f t="shared" si="4"/>
        <v>660</v>
      </c>
      <c r="L6" s="87"/>
      <c r="M6" s="88"/>
      <c r="N6" s="37" t="str">
        <f>IF(OR(ISBLANK(D6), ISBLANK(G6), ISBLANK(J6), ISBLANK('WEEK 2'!N7)), "", ROUNDUP((((D6 + G6 + J6) / 3) - 'WEEK 2'!N7) / 'WEEK 2'!N7 * 100, 0) &amp; "% " &amp; IF(((D6 + G6 + J6) / 3) - 'WEEK 2'!N7 &gt; 0, "INCREASE", IF(((D6 + G6 + J6) / 3) - 'WEEK 2'!N7 &lt; 0, "DECREASE", "NO CHANGE")))</f>
        <v>46% INCREASE</v>
      </c>
    </row>
    <row r="7" ht="16.5" customHeight="1">
      <c r="A7" s="80" t="s">
        <v>23</v>
      </c>
      <c r="B7" s="81">
        <v>145.0</v>
      </c>
      <c r="C7" s="28">
        <v>8.0</v>
      </c>
      <c r="D7" s="82">
        <f t="shared" si="1"/>
        <v>180.0347653</v>
      </c>
      <c r="E7" s="28">
        <v>145.0</v>
      </c>
      <c r="F7" s="28">
        <v>8.0</v>
      </c>
      <c r="G7" s="82">
        <f t="shared" si="2"/>
        <v>180.0347653</v>
      </c>
      <c r="H7" s="28">
        <v>145.0</v>
      </c>
      <c r="I7" s="28">
        <v>4.0</v>
      </c>
      <c r="J7" s="82">
        <f t="shared" si="3"/>
        <v>158.1933232</v>
      </c>
      <c r="K7" s="83">
        <f t="shared" si="4"/>
        <v>2900</v>
      </c>
      <c r="L7" s="84"/>
      <c r="M7" s="85"/>
      <c r="N7" s="33" t="str">
        <f>IF(OR(ISBLANK(D7), ISBLANK(G7), ISBLANK(J7), ISBLANK('WEEK 2'!N8)), "", ROUNDUP((((D7 + G7 + J7) / 3) - 'WEEK 2'!N8) / 'WEEK 2'!N8 * 100, 0) &amp; "% " &amp; IF(((D7 + G7 + J7) / 3) - 'WEEK 2'!N8 &gt; 0, "INCREASE", IF(((D7 + G7 + J7) / 3) - 'WEEK 2'!N8 &lt; 0, "DECREASE", "NO CHANGE")))</f>
        <v>-5% DECREASE</v>
      </c>
    </row>
    <row r="8" ht="16.5" customHeight="1">
      <c r="A8" s="80" t="s">
        <v>49</v>
      </c>
      <c r="B8" s="81"/>
      <c r="C8" s="28"/>
      <c r="D8" s="82">
        <f t="shared" si="1"/>
        <v>0</v>
      </c>
      <c r="E8" s="28"/>
      <c r="F8" s="28"/>
      <c r="G8" s="82">
        <f t="shared" si="2"/>
        <v>0</v>
      </c>
      <c r="H8" s="28"/>
      <c r="I8" s="28"/>
      <c r="J8" s="82">
        <f t="shared" si="3"/>
        <v>0</v>
      </c>
      <c r="K8" s="86">
        <f t="shared" si="4"/>
        <v>0</v>
      </c>
      <c r="L8" s="87"/>
      <c r="M8" s="88"/>
      <c r="N8" s="37" t="str">
        <f>IF(OR(ISBLANK(D8), ISBLANK(G8), ISBLANK(J8), ISBLANK('WEEK 2'!N9)), "", ROUNDUP((((D8 + G8 + J8) / 3) - 'WEEK 2'!N9) / 'WEEK 2'!N9 * 100, 0) &amp; "% " &amp; IF(((D8 + G8 + J8) / 3) - 'WEEK 2'!N9 &gt; 0, "INCREASE", IF(((D8 + G8 + J8) / 3) - 'WEEK 2'!N9 &lt; 0, "DECREASE", "NO CHANGE")))</f>
        <v>-100% DECREASE</v>
      </c>
    </row>
    <row r="9" ht="16.5" customHeight="1">
      <c r="A9" s="89" t="s">
        <v>27</v>
      </c>
      <c r="B9" s="74" t="s">
        <v>10</v>
      </c>
      <c r="C9" s="75" t="s">
        <v>11</v>
      </c>
      <c r="D9" s="75" t="s">
        <v>12</v>
      </c>
      <c r="E9" s="75" t="s">
        <v>10</v>
      </c>
      <c r="F9" s="75" t="s">
        <v>11</v>
      </c>
      <c r="G9" s="75" t="s">
        <v>12</v>
      </c>
      <c r="H9" s="75" t="s">
        <v>10</v>
      </c>
      <c r="I9" s="75" t="s">
        <v>11</v>
      </c>
      <c r="J9" s="75" t="s">
        <v>12</v>
      </c>
      <c r="K9" s="76" t="s">
        <v>59</v>
      </c>
      <c r="L9" s="84"/>
      <c r="M9" s="85"/>
      <c r="N9" s="79" t="s">
        <v>60</v>
      </c>
    </row>
    <row r="10" ht="15.75" customHeight="1">
      <c r="A10" s="80" t="s">
        <v>29</v>
      </c>
      <c r="B10" s="81">
        <v>190.0</v>
      </c>
      <c r="C10" s="28">
        <v>8.0</v>
      </c>
      <c r="D10" s="82">
        <f t="shared" ref="D10:D15" si="5">B10/(1.0278-(0.0278*C10))</f>
        <v>235.9076235</v>
      </c>
      <c r="E10" s="28">
        <v>175.0</v>
      </c>
      <c r="F10" s="28">
        <v>9.0</v>
      </c>
      <c r="G10" s="82">
        <f t="shared" ref="G10:G15" si="6">E10/(1.0278-(0.0278*F10))</f>
        <v>225.0514403</v>
      </c>
      <c r="H10" s="28">
        <v>175.0</v>
      </c>
      <c r="I10" s="28">
        <v>8.0</v>
      </c>
      <c r="J10" s="82">
        <f t="shared" ref="J10:J15" si="7">H10/(1.0278-(0.0278*I10))</f>
        <v>217.2833375</v>
      </c>
      <c r="K10" s="86">
        <f t="shared" ref="K10:K15" si="8">+B10*C10+E10*F10+H10*I10</f>
        <v>4495</v>
      </c>
      <c r="L10" s="87"/>
      <c r="M10" s="88"/>
      <c r="N10" s="37" t="str">
        <f>IF(OR(ISBLANK(D10), ISBLANK(G10), ISBLANK(J10), ISBLANK('WEEK 2'!N11)), "", ROUNDUP((((D10 + G10 + J10) / 3) - 'WEEK 2'!N11) / 'WEEK 2'!N11 * 100, 0) &amp; "% " &amp; IF(((D10 + G10 + J10) / 3) - 'WEEK 2'!N11 &gt; 0, "INCREASE", IF(((D10 + G10 + J10) / 3) - 'WEEK 2'!N11 &lt; 0, "DECREASE", "NO CHANGE")))</f>
        <v>-2% DECREASE</v>
      </c>
    </row>
    <row r="11" ht="15.75" customHeight="1">
      <c r="A11" s="80" t="s">
        <v>40</v>
      </c>
      <c r="B11" s="81">
        <v>40.0</v>
      </c>
      <c r="C11" s="28">
        <v>8.0</v>
      </c>
      <c r="D11" s="82">
        <f t="shared" si="5"/>
        <v>49.66476285</v>
      </c>
      <c r="E11" s="28">
        <v>40.0</v>
      </c>
      <c r="F11" s="28">
        <v>7.0</v>
      </c>
      <c r="G11" s="82">
        <f t="shared" si="6"/>
        <v>48.00768123</v>
      </c>
      <c r="H11" s="28">
        <v>40.0</v>
      </c>
      <c r="I11" s="28">
        <v>5.0</v>
      </c>
      <c r="J11" s="82">
        <f t="shared" si="7"/>
        <v>45.00450045</v>
      </c>
      <c r="K11" s="83">
        <f t="shared" si="8"/>
        <v>800</v>
      </c>
      <c r="L11" s="84"/>
      <c r="M11" s="85"/>
      <c r="N11" s="33" t="str">
        <f>IF(OR(ISBLANK(D11), ISBLANK(G11), ISBLANK(J11), ISBLANK('WEEK 2'!N12)), "", ROUNDUP((((D11 + G11 + J11) / 3) - 'WEEK 2'!N12) / 'WEEK 2'!N12 * 100, 0) &amp; "% " &amp; IF(((D11 + G11 + J11) / 3) - 'WEEK 2'!N12 &gt; 0, "INCREASE", IF(((D11 + G11 + J11) / 3) - 'WEEK 2'!N12 &lt; 0, "DECREASE", "NO CHANGE")))</f>
        <v>#DIV/0!</v>
      </c>
    </row>
    <row r="12" ht="15.75" customHeight="1">
      <c r="A12" s="80" t="s">
        <v>31</v>
      </c>
      <c r="B12" s="81">
        <v>125.0</v>
      </c>
      <c r="C12" s="28">
        <v>10.0</v>
      </c>
      <c r="D12" s="82">
        <f t="shared" si="5"/>
        <v>166.711123</v>
      </c>
      <c r="E12" s="28">
        <v>125.0</v>
      </c>
      <c r="F12" s="28">
        <v>8.0</v>
      </c>
      <c r="G12" s="82">
        <f t="shared" si="6"/>
        <v>155.2023839</v>
      </c>
      <c r="H12" s="28">
        <v>110.0</v>
      </c>
      <c r="I12" s="28">
        <v>10.0</v>
      </c>
      <c r="J12" s="82">
        <f t="shared" si="7"/>
        <v>146.7057882</v>
      </c>
      <c r="K12" s="86">
        <f t="shared" si="8"/>
        <v>3350</v>
      </c>
      <c r="L12" s="87"/>
      <c r="M12" s="88"/>
      <c r="N12" s="37" t="str">
        <f>IF(OR(ISBLANK(D12), ISBLANK(G12), ISBLANK(J12), ISBLANK('WEEK 2'!N13)), "", ROUNDUP((((D12 + G12 + J12) / 3) - 'WEEK 2'!N13) / 'WEEK 2'!N13 * 100, 0) &amp; "% " &amp; IF(((D12 + G12 + J12) / 3) - 'WEEK 2'!N13 &gt; 0, "INCREASE", IF(((D12 + G12 + J12) / 3) - 'WEEK 2'!N13 &lt; 0, "DECREASE", "NO CHANGE")))</f>
        <v>5% INCREASE</v>
      </c>
    </row>
    <row r="13" ht="15.75" customHeight="1">
      <c r="A13" s="80" t="s">
        <v>32</v>
      </c>
      <c r="B13" s="90"/>
      <c r="C13" s="38"/>
      <c r="D13" s="82">
        <f t="shared" si="5"/>
        <v>0</v>
      </c>
      <c r="E13" s="38"/>
      <c r="F13" s="38"/>
      <c r="G13" s="82">
        <f t="shared" si="6"/>
        <v>0</v>
      </c>
      <c r="H13" s="38"/>
      <c r="I13" s="38"/>
      <c r="J13" s="82">
        <f t="shared" si="7"/>
        <v>0</v>
      </c>
      <c r="K13" s="83">
        <f t="shared" si="8"/>
        <v>0</v>
      </c>
      <c r="L13" s="84"/>
      <c r="M13" s="85"/>
      <c r="N13" s="33" t="str">
        <f>IF(OR(ISBLANK(D13), ISBLANK(G13), ISBLANK(J13), ISBLANK('WEEK 2'!N14)), "", ROUNDUP((((D13 + G13 + J13) / 3) - 'WEEK 2'!N14) / 'WEEK 2'!N14 * 100, 0) &amp; "% " &amp; IF(((D13 + G13 + J13) / 3) - 'WEEK 2'!N14 &gt; 0, "INCREASE", IF(((D13 + G13 + J13) / 3) - 'WEEK 2'!N14 &lt; 0, "DECREASE", "NO CHANGE")))</f>
        <v>#DIV/0!</v>
      </c>
    </row>
    <row r="14" ht="15.75" customHeight="1">
      <c r="A14" s="80" t="s">
        <v>62</v>
      </c>
      <c r="B14" s="81">
        <v>120.0</v>
      </c>
      <c r="C14" s="28">
        <v>14.0</v>
      </c>
      <c r="D14" s="82">
        <f t="shared" si="5"/>
        <v>187.9110554</v>
      </c>
      <c r="E14" s="28">
        <v>120.0</v>
      </c>
      <c r="F14" s="28">
        <v>12.0</v>
      </c>
      <c r="G14" s="82">
        <f t="shared" si="6"/>
        <v>172.860847</v>
      </c>
      <c r="H14" s="28">
        <v>120.0</v>
      </c>
      <c r="I14" s="28">
        <v>12.0</v>
      </c>
      <c r="J14" s="82">
        <f t="shared" si="7"/>
        <v>172.860847</v>
      </c>
      <c r="K14" s="86">
        <f t="shared" si="8"/>
        <v>4560</v>
      </c>
      <c r="L14" s="87"/>
      <c r="M14" s="88"/>
      <c r="N14" s="37" t="str">
        <f>IF(OR(ISBLANK(D14), ISBLANK(G14), ISBLANK(J14), ISBLANK('WEEK 2'!N15)), "", ROUNDUP((((D14 + G14 + J14) / 3) - 'WEEK 2'!N15) / 'WEEK 2'!N15 * 100, 0) &amp; "% " &amp; IF(((D14 + G14 + J14) / 3) - 'WEEK 2'!N15 &gt; 0, "INCREASE", IF(((D14 + G14 + J14) / 3) - 'WEEK 2'!N15 &lt; 0, "DECREASE", "NO CHANGE")))</f>
        <v>8% INCREASE</v>
      </c>
    </row>
    <row r="15" ht="15.75" customHeight="1">
      <c r="A15" s="80" t="s">
        <v>34</v>
      </c>
      <c r="B15" s="81">
        <v>77.5</v>
      </c>
      <c r="C15" s="28">
        <v>12.0</v>
      </c>
      <c r="D15" s="82">
        <f t="shared" si="5"/>
        <v>111.639297</v>
      </c>
      <c r="E15" s="28">
        <v>77.5</v>
      </c>
      <c r="F15" s="28">
        <v>12.0</v>
      </c>
      <c r="G15" s="82">
        <f t="shared" si="6"/>
        <v>111.639297</v>
      </c>
      <c r="H15" s="28">
        <v>77.5</v>
      </c>
      <c r="I15" s="28">
        <v>12.0</v>
      </c>
      <c r="J15" s="82">
        <f t="shared" si="7"/>
        <v>111.639297</v>
      </c>
      <c r="K15" s="83">
        <f t="shared" si="8"/>
        <v>2790</v>
      </c>
      <c r="L15" s="84"/>
      <c r="M15" s="85"/>
      <c r="N15" s="33" t="str">
        <f>IF(OR(ISBLANK(D15), ISBLANK(G15), ISBLANK(J15), ISBLANK('WEEK 2'!N16)), "", ROUNDUP((((D15 + G15 + J15) / 3) - 'WEEK 2'!N16) / 'WEEK 2'!N16 * 100, 0) &amp; "% " &amp; IF(((D15 + G15 + J15) / 3) - 'WEEK 2'!N16 &gt; 0, "INCREASE", IF(((D15 + G15 + J15) / 3) - 'WEEK 2'!N16 &lt; 0, "DECREASE", "NO CHANGE")))</f>
        <v>-4% DECREASE</v>
      </c>
    </row>
    <row r="16" ht="16.5" customHeight="1">
      <c r="A16" s="73" t="s">
        <v>37</v>
      </c>
      <c r="B16" s="74" t="s">
        <v>10</v>
      </c>
      <c r="C16" s="75" t="s">
        <v>11</v>
      </c>
      <c r="D16" s="75" t="s">
        <v>12</v>
      </c>
      <c r="E16" s="75" t="s">
        <v>10</v>
      </c>
      <c r="F16" s="75" t="s">
        <v>11</v>
      </c>
      <c r="G16" s="75" t="s">
        <v>12</v>
      </c>
      <c r="H16" s="75" t="s">
        <v>10</v>
      </c>
      <c r="I16" s="75" t="s">
        <v>11</v>
      </c>
      <c r="J16" s="75" t="s">
        <v>12</v>
      </c>
      <c r="K16" s="76" t="s">
        <v>59</v>
      </c>
      <c r="L16" s="87"/>
      <c r="M16" s="88"/>
      <c r="N16" s="79" t="s">
        <v>60</v>
      </c>
    </row>
    <row r="17" ht="16.5" customHeight="1">
      <c r="A17" s="80" t="s">
        <v>38</v>
      </c>
      <c r="B17" s="90"/>
      <c r="C17" s="38"/>
      <c r="D17" s="82">
        <f t="shared" ref="D17:D21" si="9">B17/(1.0278-(0.0278*C17))</f>
        <v>0</v>
      </c>
      <c r="E17" s="38"/>
      <c r="F17" s="38"/>
      <c r="G17" s="82">
        <f t="shared" ref="G17:G21" si="10">E17/(1.0278-(0.0278*F17))</f>
        <v>0</v>
      </c>
      <c r="H17" s="38"/>
      <c r="I17" s="38"/>
      <c r="J17" s="82">
        <f t="shared" ref="J17:J21" si="11">H17/(1.0278-(0.0278*I17))</f>
        <v>0</v>
      </c>
      <c r="K17" s="83">
        <f t="shared" ref="K17:K21" si="12">+B17*C17+E17*F17+H17*I17</f>
        <v>0</v>
      </c>
      <c r="L17" s="84"/>
      <c r="M17" s="85"/>
      <c r="N17" s="33" t="str">
        <f>IF(OR(ISBLANK(D17), ISBLANK(G17), ISBLANK(J17), ISBLANK('WEEK 2'!N18)), "", ROUNDUP((((D17 + G17 + J17) / 3) - 'WEEK 2'!N18) / 'WEEK 2'!N18 * 100, 0) &amp; "% " &amp; IF(((D17 + G17 + J17) / 3) - 'WEEK 2'!N18 &gt; 0, "INCREASE", IF(((D17 + G17 + J17) / 3) - 'WEEK 2'!N18 &lt; 0, "DECREASE", "NO CHANGE")))</f>
        <v>#DIV/0!</v>
      </c>
    </row>
    <row r="18" ht="15.75" customHeight="1">
      <c r="A18" s="80" t="s">
        <v>40</v>
      </c>
      <c r="B18" s="90"/>
      <c r="C18" s="38"/>
      <c r="D18" s="82">
        <f t="shared" si="9"/>
        <v>0</v>
      </c>
      <c r="E18" s="38"/>
      <c r="F18" s="38"/>
      <c r="G18" s="82">
        <f t="shared" si="10"/>
        <v>0</v>
      </c>
      <c r="H18" s="38"/>
      <c r="I18" s="38"/>
      <c r="J18" s="82">
        <f t="shared" si="11"/>
        <v>0</v>
      </c>
      <c r="K18" s="86">
        <f t="shared" si="12"/>
        <v>0</v>
      </c>
      <c r="L18" s="87"/>
      <c r="M18" s="88"/>
      <c r="N18" s="37" t="str">
        <f>IF(OR(ISBLANK(D18), ISBLANK(G18), ISBLANK(J18), ISBLANK('WEEK 2'!N19)), "", ROUNDUP((((D18 + G18 + J18) / 3) - 'WEEK 2'!N19) / 'WEEK 2'!N19 * 100, 0) &amp; "% " &amp; IF(((D18 + G18 + J18) / 3) - 'WEEK 2'!N19 &gt; 0, "INCREASE", IF(((D18 + G18 + J18) / 3) - 'WEEK 2'!N19 &lt; 0, "DECREASE", "NO CHANGE")))</f>
        <v>#VALUE!</v>
      </c>
    </row>
    <row r="19" ht="15.75" customHeight="1">
      <c r="A19" s="80" t="s">
        <v>41</v>
      </c>
      <c r="B19" s="90"/>
      <c r="C19" s="38"/>
      <c r="D19" s="82">
        <f t="shared" si="9"/>
        <v>0</v>
      </c>
      <c r="E19" s="38"/>
      <c r="F19" s="38"/>
      <c r="G19" s="82">
        <f t="shared" si="10"/>
        <v>0</v>
      </c>
      <c r="H19" s="38"/>
      <c r="I19" s="38"/>
      <c r="J19" s="82">
        <f t="shared" si="11"/>
        <v>0</v>
      </c>
      <c r="K19" s="83">
        <f t="shared" si="12"/>
        <v>0</v>
      </c>
      <c r="L19" s="84"/>
      <c r="M19" s="85"/>
      <c r="N19" s="33" t="str">
        <f>IF(OR(ISBLANK(D19), ISBLANK(G19), ISBLANK(J19), ISBLANK('WEEK 2'!N20)), "", ROUNDUP((((D19 + G19 + J19) / 3) - 'WEEK 2'!N20) / 'WEEK 2'!N20 * 100, 0) &amp; "% " &amp; IF(((D19 + G19 + J19) / 3) - 'WEEK 2'!N20 &gt; 0, "INCREASE", IF(((D19 + G19 + J19) / 3) - 'WEEK 2'!N20 &lt; 0, "DECREASE", "NO CHANGE")))</f>
        <v>#DIV/0!</v>
      </c>
    </row>
    <row r="20" ht="16.5" customHeight="1">
      <c r="A20" s="80" t="s">
        <v>21</v>
      </c>
      <c r="B20" s="90"/>
      <c r="C20" s="38"/>
      <c r="D20" s="82">
        <f t="shared" si="9"/>
        <v>0</v>
      </c>
      <c r="E20" s="38"/>
      <c r="F20" s="38"/>
      <c r="G20" s="82">
        <f t="shared" si="10"/>
        <v>0</v>
      </c>
      <c r="H20" s="38"/>
      <c r="I20" s="38"/>
      <c r="J20" s="82">
        <f t="shared" si="11"/>
        <v>0</v>
      </c>
      <c r="K20" s="86">
        <f t="shared" si="12"/>
        <v>0</v>
      </c>
      <c r="L20" s="87"/>
      <c r="M20" s="88"/>
      <c r="N20" s="37" t="str">
        <f>IF(OR(ISBLANK(D20), ISBLANK(G20), ISBLANK(J20), ISBLANK('WEEK 2'!N21)), "", ROUNDUP((((D20 + G20 + J20) / 3) - 'WEEK 2'!N21) / 'WEEK 2'!N21 * 100, 0) &amp; "% " &amp; IF(((D20 + G20 + J20) / 3) - 'WEEK 2'!N21 &gt; 0, "INCREASE", IF(((D20 + G20 + J20) / 3) - 'WEEK 2'!N21 &lt; 0, "DECREASE", "NO CHANGE")))</f>
        <v>#DIV/0!</v>
      </c>
    </row>
    <row r="21" ht="15.75" customHeight="1">
      <c r="A21" s="80" t="s">
        <v>31</v>
      </c>
      <c r="B21" s="90"/>
      <c r="C21" s="38"/>
      <c r="D21" s="82">
        <f t="shared" si="9"/>
        <v>0</v>
      </c>
      <c r="E21" s="38"/>
      <c r="F21" s="38"/>
      <c r="G21" s="82">
        <f t="shared" si="10"/>
        <v>0</v>
      </c>
      <c r="H21" s="38"/>
      <c r="I21" s="38"/>
      <c r="J21" s="82">
        <f t="shared" si="11"/>
        <v>0</v>
      </c>
      <c r="K21" s="83">
        <f t="shared" si="12"/>
        <v>0</v>
      </c>
      <c r="L21" s="84"/>
      <c r="M21" s="85"/>
      <c r="N21" s="33" t="str">
        <f>IF(OR(ISBLANK(D21), ISBLANK(G21), ISBLANK(J21), ISBLANK('WEEK 2'!N22)), "", ROUNDUP((((D21 + G21 + J21) / 3) - 'WEEK 2'!N22) / 'WEEK 2'!N22 * 100, 0) &amp; "% " &amp; IF(((D21 + G21 + J21) / 3) - 'WEEK 2'!N22 &gt; 0, "INCREASE", IF(((D21 + G21 + J21) / 3) - 'WEEK 2'!N22 &lt; 0, "DECREASE", "NO CHANGE")))</f>
        <v>#DIV/0!</v>
      </c>
    </row>
    <row r="22" ht="17.25" customHeight="1">
      <c r="A22" s="73" t="s">
        <v>42</v>
      </c>
      <c r="B22" s="74" t="s">
        <v>10</v>
      </c>
      <c r="C22" s="75" t="s">
        <v>11</v>
      </c>
      <c r="D22" s="75" t="s">
        <v>12</v>
      </c>
      <c r="E22" s="75" t="s">
        <v>10</v>
      </c>
      <c r="F22" s="75" t="s">
        <v>11</v>
      </c>
      <c r="G22" s="75" t="s">
        <v>12</v>
      </c>
      <c r="H22" s="75" t="s">
        <v>10</v>
      </c>
      <c r="I22" s="75" t="s">
        <v>11</v>
      </c>
      <c r="J22" s="75" t="s">
        <v>12</v>
      </c>
      <c r="K22" s="76" t="s">
        <v>59</v>
      </c>
      <c r="L22" s="87"/>
      <c r="M22" s="88"/>
      <c r="N22" s="79" t="s">
        <v>60</v>
      </c>
    </row>
    <row r="23" ht="15.0" customHeight="1">
      <c r="A23" s="80" t="s">
        <v>63</v>
      </c>
      <c r="B23" s="81"/>
      <c r="C23" s="28"/>
      <c r="D23" s="82">
        <f t="shared" ref="D23:D28" si="13">B23/(1.0278-(0.0278*C23))</f>
        <v>0</v>
      </c>
      <c r="E23" s="28"/>
      <c r="F23" s="28"/>
      <c r="G23" s="82">
        <f t="shared" ref="G23:G28" si="14">E23/(1.0278-(0.0278*F23))</f>
        <v>0</v>
      </c>
      <c r="H23" s="28"/>
      <c r="I23" s="28"/>
      <c r="J23" s="82">
        <f t="shared" ref="J23:J28" si="15">H23/(1.0278-(0.0278*I23))</f>
        <v>0</v>
      </c>
      <c r="K23" s="83">
        <f t="shared" ref="K23:K28" si="16">+B23*C23+E23*F23+H23*I23</f>
        <v>0</v>
      </c>
      <c r="L23" s="84"/>
      <c r="M23" s="85"/>
      <c r="N23" s="33" t="str">
        <f>IF(OR(ISBLANK(D23), ISBLANK(G23), ISBLANK(J23), ISBLANK('WEEK 2'!N24)), "", ROUNDUP((((D23 + G23 + J23) / 3) - 'WEEK 2'!N24) / 'WEEK 2'!N24 * 100, 0) &amp; "% " &amp; IF(((D23 + G23 + J23) / 3) - 'WEEK 2'!N24 &gt; 0, "INCREASE", IF(((D23 + G23 + J23) / 3) - 'WEEK 2'!N24 &lt; 0, "DECREASE", "NO CHANGE")))</f>
        <v>#DIV/0!</v>
      </c>
    </row>
    <row r="24" ht="15.0" customHeight="1">
      <c r="A24" s="80" t="s">
        <v>62</v>
      </c>
      <c r="B24" s="81"/>
      <c r="C24" s="28"/>
      <c r="D24" s="82">
        <f t="shared" si="13"/>
        <v>0</v>
      </c>
      <c r="E24" s="28"/>
      <c r="F24" s="28"/>
      <c r="G24" s="82">
        <f t="shared" si="14"/>
        <v>0</v>
      </c>
      <c r="H24" s="28"/>
      <c r="I24" s="28"/>
      <c r="J24" s="82">
        <f t="shared" si="15"/>
        <v>0</v>
      </c>
      <c r="K24" s="86">
        <f t="shared" si="16"/>
        <v>0</v>
      </c>
      <c r="L24" s="87"/>
      <c r="M24" s="88"/>
      <c r="N24" s="37" t="str">
        <f>IF(OR(ISBLANK(D24), ISBLANK(G24), ISBLANK(J24), ISBLANK('WEEK 2'!N25)), "", ROUNDUP((((D24 + G24 + J24) / 3) - 'WEEK 2'!N25) / 'WEEK 2'!N25 * 100, 0) &amp; "% " &amp; IF(((D24 + G24 + J24) / 3) - 'WEEK 2'!N25 &gt; 0, "INCREASE", IF(((D24 + G24 + J24) / 3) - 'WEEK 2'!N25 &lt; 0, "DECREASE", "NO CHANGE")))</f>
        <v>#VALUE!</v>
      </c>
    </row>
    <row r="25" ht="15.0" customHeight="1">
      <c r="A25" s="80" t="s">
        <v>64</v>
      </c>
      <c r="B25" s="81"/>
      <c r="C25" s="28"/>
      <c r="D25" s="82">
        <f t="shared" si="13"/>
        <v>0</v>
      </c>
      <c r="E25" s="28"/>
      <c r="F25" s="28"/>
      <c r="G25" s="82">
        <f t="shared" si="14"/>
        <v>0</v>
      </c>
      <c r="H25" s="28"/>
      <c r="I25" s="28"/>
      <c r="J25" s="82">
        <f t="shared" si="15"/>
        <v>0</v>
      </c>
      <c r="K25" s="83">
        <f t="shared" si="16"/>
        <v>0</v>
      </c>
      <c r="L25" s="84"/>
      <c r="M25" s="85"/>
      <c r="N25" s="33" t="str">
        <f>IF(OR(ISBLANK(D25), ISBLANK(G25), ISBLANK(J25), ISBLANK('WEEK 2'!N26)), "", ROUNDUP((((D25 + G25 + J25) / 3) - 'WEEK 2'!N26) / 'WEEK 2'!N26 * 100, 0) &amp; "% " &amp; IF(((D25 + G25 + J25) / 3) - 'WEEK 2'!N26 &gt; 0, "INCREASE", IF(((D25 + G25 + J25) / 3) - 'WEEK 2'!N26 &lt; 0, "DECREASE", "NO CHANGE")))</f>
        <v>-100% DECREASE</v>
      </c>
    </row>
    <row r="26" ht="15.0" customHeight="1">
      <c r="A26" s="80" t="s">
        <v>47</v>
      </c>
      <c r="B26" s="81"/>
      <c r="C26" s="28"/>
      <c r="D26" s="82">
        <f t="shared" si="13"/>
        <v>0</v>
      </c>
      <c r="E26" s="28"/>
      <c r="F26" s="28"/>
      <c r="G26" s="82">
        <f t="shared" si="14"/>
        <v>0</v>
      </c>
      <c r="H26" s="28"/>
      <c r="I26" s="28"/>
      <c r="J26" s="82">
        <f t="shared" si="15"/>
        <v>0</v>
      </c>
      <c r="K26" s="86">
        <f t="shared" si="16"/>
        <v>0</v>
      </c>
      <c r="L26" s="87"/>
      <c r="M26" s="88"/>
      <c r="N26" s="37" t="str">
        <f>IF(OR(ISBLANK(D26), ISBLANK(G26), ISBLANK(J26), ISBLANK('WEEK 2'!N27)), "", ROUNDUP((((D26 + G26 + J26) / 3) - 'WEEK 2'!N27) / 'WEEK 2'!N27 * 100, 0) &amp; "% " &amp; IF(((D26 + G26 + J26) / 3) - 'WEEK 2'!N27 &gt; 0, "INCREASE", IF(((D26 + G26 + J26) / 3) - 'WEEK 2'!N27 &lt; 0, "DECREASE", "NO CHANGE")))</f>
        <v>-100% DECREASE</v>
      </c>
    </row>
    <row r="27" ht="15.0" customHeight="1">
      <c r="A27" s="80" t="s">
        <v>48</v>
      </c>
      <c r="B27" s="81"/>
      <c r="C27" s="28"/>
      <c r="D27" s="82">
        <f t="shared" si="13"/>
        <v>0</v>
      </c>
      <c r="E27" s="28"/>
      <c r="F27" s="28"/>
      <c r="G27" s="82">
        <f t="shared" si="14"/>
        <v>0</v>
      </c>
      <c r="H27" s="28"/>
      <c r="I27" s="28"/>
      <c r="J27" s="82">
        <f t="shared" si="15"/>
        <v>0</v>
      </c>
      <c r="K27" s="83">
        <f t="shared" si="16"/>
        <v>0</v>
      </c>
      <c r="L27" s="84"/>
      <c r="M27" s="85"/>
      <c r="N27" s="33" t="str">
        <f>IF(OR(ISBLANK(D27), ISBLANK(G27), ISBLANK(J27), ISBLANK('WEEK 2'!N28)), "", ROUNDUP((((D27 + G27 + J27) / 3) - 'WEEK 2'!N28) / 'WEEK 2'!N28 * 100, 0) &amp; "% " &amp; IF(((D27 + G27 + J27) / 3) - 'WEEK 2'!N28 &gt; 0, "INCREASE", IF(((D27 + G27 + J27) / 3) - 'WEEK 2'!N28 &lt; 0, "DECREASE", "NO CHANGE")))</f>
        <v>-100% DECREASE</v>
      </c>
    </row>
    <row r="28" ht="15.0" customHeight="1">
      <c r="A28" s="80" t="s">
        <v>57</v>
      </c>
      <c r="B28" s="81"/>
      <c r="C28" s="28"/>
      <c r="D28" s="82">
        <f t="shared" si="13"/>
        <v>0</v>
      </c>
      <c r="E28" s="28"/>
      <c r="F28" s="28"/>
      <c r="G28" s="82">
        <f t="shared" si="14"/>
        <v>0</v>
      </c>
      <c r="H28" s="28"/>
      <c r="I28" s="28"/>
      <c r="J28" s="82">
        <f t="shared" si="15"/>
        <v>0</v>
      </c>
      <c r="K28" s="86">
        <f t="shared" si="16"/>
        <v>0</v>
      </c>
      <c r="L28" s="87"/>
      <c r="M28" s="88"/>
      <c r="N28" s="37" t="str">
        <f>IF(OR(ISBLANK(D28), ISBLANK(G28), ISBLANK(J28), ISBLANK('WEEK 2'!N29)), "", ROUNDUP((((D28 + G28 + J28) / 3) - 'WEEK 2'!N29) / 'WEEK 2'!N29 * 100, 0) &amp; "% " &amp; IF(((D28 + G28 + J28) / 3) - 'WEEK 2'!N29 &gt; 0, "INCREASE", IF(((D28 + G28 + J28) / 3) - 'WEEK 2'!N29 &lt; 0, "DECREASE", "NO CHANGE")))</f>
        <v>-100% DECREASE</v>
      </c>
    </row>
  </sheetData>
  <mergeCells count="31">
    <mergeCell ref="B1:D1"/>
    <mergeCell ref="E1:G1"/>
    <mergeCell ref="H1:J1"/>
    <mergeCell ref="K1:M1"/>
    <mergeCell ref="K2:M2"/>
    <mergeCell ref="K3:M3"/>
    <mergeCell ref="K4:M4"/>
    <mergeCell ref="K5:M5"/>
    <mergeCell ref="K6:M6"/>
    <mergeCell ref="K7:M7"/>
    <mergeCell ref="K8:M8"/>
    <mergeCell ref="K9:M9"/>
    <mergeCell ref="K10:M10"/>
    <mergeCell ref="K11:M11"/>
    <mergeCell ref="K12:M12"/>
    <mergeCell ref="K13:M13"/>
    <mergeCell ref="K14:M14"/>
    <mergeCell ref="K15:M15"/>
    <mergeCell ref="K16:M16"/>
    <mergeCell ref="K17:M17"/>
    <mergeCell ref="K18:M18"/>
    <mergeCell ref="K26:M26"/>
    <mergeCell ref="K27:M27"/>
    <mergeCell ref="K28:M28"/>
    <mergeCell ref="K19:M19"/>
    <mergeCell ref="K20:M20"/>
    <mergeCell ref="K21:M21"/>
    <mergeCell ref="K22:M22"/>
    <mergeCell ref="K23:M23"/>
    <mergeCell ref="K24:M24"/>
    <mergeCell ref="K25:M25"/>
  </mergeCells>
  <printOptions/>
  <pageMargins bottom="0.75" footer="0.0" header="0.0" left="0.7" right="0.7" top="0.75"/>
  <pageSetup orientation="portrait"/>
  <headerFooter>
    <oddFooter>&amp;C000000&amp;P</oddFooter>
  </headerFooter>
  <drawing r:id="rId1"/>
  <tableParts count="3">
    <tablePart r:id="rId5"/>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53.25"/>
    <col customWidth="1" min="3" max="3" width="13.13"/>
    <col customWidth="1" min="4" max="4" width="15.38"/>
    <col customWidth="1" min="5" max="5" width="12.13"/>
    <col customWidth="1" min="6" max="6" width="14.38"/>
    <col customWidth="1" min="7" max="7" width="10.75"/>
    <col customWidth="1" min="8" max="8" width="10.88"/>
    <col customWidth="1" min="9" max="9" width="13.25"/>
    <col customWidth="1" min="10" max="11" width="10.88"/>
    <col customWidth="1" min="12" max="12" width="13.25"/>
    <col customWidth="1" min="13" max="14" width="10.88"/>
    <col customWidth="1" min="15" max="15" width="13.25"/>
    <col customWidth="1" min="16" max="17" width="10.88"/>
    <col customWidth="1" min="18" max="21" width="13.25"/>
    <col customWidth="1" min="22" max="23" width="10.88"/>
    <col customWidth="1" min="24" max="24" width="13.25"/>
    <col customWidth="1" min="25" max="25" width="10.75"/>
    <col customWidth="1" min="26" max="26" width="15.13"/>
    <col customWidth="1" min="27" max="27" width="83.75"/>
    <col customWidth="1" min="28" max="28" width="20.0"/>
    <col customWidth="1" min="29" max="29" width="20.38"/>
    <col customWidth="1" min="30" max="30" width="21.88"/>
    <col customWidth="1" min="31" max="31" width="23.38"/>
    <col customWidth="1" min="32" max="45" width="8.88"/>
  </cols>
  <sheetData>
    <row r="1" ht="15.0" customHeight="1">
      <c r="A1" s="91" t="s">
        <v>65</v>
      </c>
      <c r="B1" s="70"/>
      <c r="C1" s="70"/>
      <c r="D1" s="70"/>
      <c r="E1" s="70"/>
      <c r="F1" s="71"/>
      <c r="G1" s="92" t="s">
        <v>0</v>
      </c>
      <c r="H1" s="93"/>
      <c r="I1" s="93"/>
      <c r="J1" s="93"/>
      <c r="K1" s="93"/>
      <c r="L1" s="93"/>
      <c r="M1" s="93"/>
      <c r="N1" s="93"/>
      <c r="O1" s="93"/>
      <c r="P1" s="93"/>
      <c r="Q1" s="93"/>
      <c r="R1" s="93"/>
      <c r="S1" s="93"/>
      <c r="T1" s="93"/>
      <c r="U1" s="93"/>
      <c r="V1" s="93"/>
      <c r="W1" s="93"/>
      <c r="X1" s="93"/>
      <c r="Y1" s="93"/>
      <c r="Z1" s="93"/>
      <c r="AA1" s="94"/>
      <c r="AB1" s="95"/>
      <c r="AC1" s="95"/>
      <c r="AD1" s="95"/>
      <c r="AE1" s="95"/>
      <c r="AF1" s="95"/>
      <c r="AG1" s="95"/>
      <c r="AH1" s="95"/>
      <c r="AI1" s="95"/>
      <c r="AJ1" s="95"/>
      <c r="AK1" s="95"/>
      <c r="AL1" s="95"/>
      <c r="AM1" s="95"/>
      <c r="AN1" s="95"/>
      <c r="AO1" s="95"/>
      <c r="AP1" s="95"/>
      <c r="AQ1" s="95"/>
      <c r="AR1" s="95"/>
      <c r="AS1" s="95"/>
    </row>
    <row r="2" ht="16.5" customHeight="1">
      <c r="A2" s="96"/>
      <c r="B2" s="97"/>
      <c r="C2" s="97"/>
      <c r="D2" s="97"/>
      <c r="E2" s="97"/>
      <c r="F2" s="98"/>
      <c r="G2" s="99" t="s">
        <v>1</v>
      </c>
      <c r="H2" s="12"/>
      <c r="I2" s="13"/>
      <c r="J2" s="100" t="s">
        <v>2</v>
      </c>
      <c r="K2" s="12"/>
      <c r="L2" s="13"/>
      <c r="M2" s="100" t="s">
        <v>3</v>
      </c>
      <c r="N2" s="12"/>
      <c r="O2" s="13"/>
      <c r="P2" s="100" t="s">
        <v>66</v>
      </c>
      <c r="Q2" s="12"/>
      <c r="R2" s="13"/>
      <c r="S2" s="101" t="s">
        <v>67</v>
      </c>
      <c r="T2" s="93"/>
      <c r="U2" s="94"/>
      <c r="V2" s="100" t="s">
        <v>4</v>
      </c>
      <c r="W2" s="12"/>
      <c r="X2" s="13"/>
      <c r="Y2" s="102"/>
      <c r="Z2" s="102"/>
      <c r="AA2" s="14"/>
      <c r="AB2" s="103"/>
      <c r="AC2" s="104"/>
      <c r="AD2" s="104"/>
      <c r="AE2" s="104"/>
      <c r="AF2" s="104"/>
      <c r="AG2" s="104"/>
      <c r="AH2" s="104"/>
      <c r="AI2" s="104"/>
      <c r="AJ2" s="104"/>
      <c r="AK2" s="105"/>
      <c r="AL2" s="95"/>
      <c r="AM2" s="95"/>
      <c r="AN2" s="95"/>
      <c r="AO2" s="95"/>
      <c r="AP2" s="95"/>
      <c r="AQ2" s="95"/>
      <c r="AR2" s="95"/>
      <c r="AS2" s="95"/>
    </row>
    <row r="3" ht="16.5" customHeight="1">
      <c r="A3" s="106" t="s">
        <v>68</v>
      </c>
      <c r="B3" s="107" t="s">
        <v>5</v>
      </c>
      <c r="C3" s="108" t="s">
        <v>6</v>
      </c>
      <c r="D3" s="108" t="s">
        <v>7</v>
      </c>
      <c r="E3" s="108" t="s">
        <v>8</v>
      </c>
      <c r="F3" s="108" t="s">
        <v>28</v>
      </c>
      <c r="G3" s="109" t="s">
        <v>10</v>
      </c>
      <c r="H3" s="110" t="s">
        <v>11</v>
      </c>
      <c r="I3" s="111" t="s">
        <v>12</v>
      </c>
      <c r="J3" s="109" t="s">
        <v>10</v>
      </c>
      <c r="K3" s="110" t="s">
        <v>11</v>
      </c>
      <c r="L3" s="111" t="s">
        <v>12</v>
      </c>
      <c r="M3" s="109" t="s">
        <v>10</v>
      </c>
      <c r="N3" s="110" t="s">
        <v>11</v>
      </c>
      <c r="O3" s="111" t="s">
        <v>12</v>
      </c>
      <c r="P3" s="109" t="s">
        <v>10</v>
      </c>
      <c r="Q3" s="110" t="s">
        <v>11</v>
      </c>
      <c r="R3" s="111" t="s">
        <v>12</v>
      </c>
      <c r="S3" s="109" t="s">
        <v>10</v>
      </c>
      <c r="T3" s="110" t="s">
        <v>11</v>
      </c>
      <c r="U3" s="111" t="s">
        <v>12</v>
      </c>
      <c r="V3" s="112" t="s">
        <v>13</v>
      </c>
      <c r="W3" s="93"/>
      <c r="X3" s="94"/>
      <c r="Y3" s="113" t="s">
        <v>69</v>
      </c>
      <c r="Z3" s="93"/>
      <c r="AA3" s="94"/>
      <c r="AB3" s="114"/>
      <c r="AC3" s="114"/>
      <c r="AD3" s="114"/>
      <c r="AE3" s="114"/>
      <c r="AF3" s="114"/>
      <c r="AG3" s="114"/>
      <c r="AH3" s="114"/>
      <c r="AI3" s="114"/>
      <c r="AJ3" s="114"/>
      <c r="AK3" s="115"/>
      <c r="AL3" s="95"/>
      <c r="AM3" s="95"/>
      <c r="AN3" s="95"/>
      <c r="AO3" s="95"/>
      <c r="AP3" s="95"/>
      <c r="AQ3" s="95"/>
      <c r="AR3" s="95"/>
      <c r="AS3" s="95"/>
    </row>
    <row r="4" ht="16.5" customHeight="1">
      <c r="A4" s="116" t="s">
        <v>70</v>
      </c>
      <c r="B4" s="117" t="s">
        <v>71</v>
      </c>
      <c r="C4" s="118" t="s">
        <v>15</v>
      </c>
      <c r="D4" s="119" t="s">
        <v>39</v>
      </c>
      <c r="E4" s="120"/>
      <c r="F4" s="119" t="s">
        <v>17</v>
      </c>
      <c r="G4" s="121"/>
      <c r="H4" s="122"/>
      <c r="I4" s="123">
        <f t="shared" ref="I4:I7" si="1">G4/(1.0278-(0.0278*H4))</f>
        <v>0</v>
      </c>
      <c r="J4" s="121"/>
      <c r="K4" s="122"/>
      <c r="L4" s="123">
        <f t="shared" ref="L4:L7" si="2">J4/(1.0278-(0.0278*K4))</f>
        <v>0</v>
      </c>
      <c r="M4" s="121"/>
      <c r="N4" s="122"/>
      <c r="O4" s="123">
        <f t="shared" ref="O4:O7" si="3">M4/(1.0278-(0.0278*N4))</f>
        <v>0</v>
      </c>
      <c r="P4" s="124"/>
      <c r="Q4" s="125"/>
      <c r="R4" s="123">
        <f t="shared" ref="R4:R7" si="4">P4/(1.0278-(0.0278*Q4))</f>
        <v>0</v>
      </c>
      <c r="S4" s="124"/>
      <c r="T4" s="125"/>
      <c r="U4" s="123">
        <f t="shared" ref="U4:U7" si="5">S4/(1.0278-(0.0278*T4))</f>
        <v>0</v>
      </c>
      <c r="V4" s="126">
        <f t="shared" ref="V4:V7" si="6">+G4*H4+J4*K4+M4*N4+P4*Q4+S4*T4</f>
        <v>0</v>
      </c>
      <c r="W4" s="12"/>
      <c r="X4" s="13"/>
      <c r="Y4" s="127"/>
      <c r="Z4" s="128"/>
      <c r="AA4" s="129"/>
      <c r="AB4" s="114"/>
      <c r="AC4" s="114"/>
      <c r="AD4" s="114"/>
      <c r="AE4" s="114"/>
      <c r="AF4" s="114"/>
      <c r="AG4" s="114"/>
      <c r="AH4" s="114"/>
      <c r="AI4" s="114"/>
      <c r="AJ4" s="114"/>
      <c r="AK4" s="115"/>
      <c r="AL4" s="95"/>
      <c r="AM4" s="95"/>
      <c r="AN4" s="95"/>
      <c r="AO4" s="95"/>
      <c r="AP4" s="95"/>
      <c r="AQ4" s="95"/>
      <c r="AR4" s="95"/>
      <c r="AS4" s="95"/>
    </row>
    <row r="5" ht="16.5" customHeight="1">
      <c r="A5" s="116" t="s">
        <v>72</v>
      </c>
      <c r="B5" s="117" t="s">
        <v>73</v>
      </c>
      <c r="C5" s="118" t="s">
        <v>15</v>
      </c>
      <c r="D5" s="119" t="s">
        <v>39</v>
      </c>
      <c r="E5" s="120"/>
      <c r="F5" s="119" t="s">
        <v>17</v>
      </c>
      <c r="G5" s="124"/>
      <c r="H5" s="125"/>
      <c r="I5" s="123">
        <f t="shared" si="1"/>
        <v>0</v>
      </c>
      <c r="J5" s="124"/>
      <c r="K5" s="125"/>
      <c r="L5" s="123">
        <f t="shared" si="2"/>
        <v>0</v>
      </c>
      <c r="M5" s="124"/>
      <c r="N5" s="125"/>
      <c r="O5" s="123">
        <f t="shared" si="3"/>
        <v>0</v>
      </c>
      <c r="P5" s="124"/>
      <c r="Q5" s="125"/>
      <c r="R5" s="123">
        <f t="shared" si="4"/>
        <v>0</v>
      </c>
      <c r="S5" s="124"/>
      <c r="T5" s="125"/>
      <c r="U5" s="123">
        <f t="shared" si="5"/>
        <v>0</v>
      </c>
      <c r="V5" s="126">
        <f t="shared" si="6"/>
        <v>0</v>
      </c>
      <c r="W5" s="12"/>
      <c r="X5" s="13"/>
      <c r="Y5" s="127"/>
      <c r="Z5" s="128"/>
      <c r="AA5" s="129"/>
      <c r="AB5" s="114"/>
      <c r="AC5" s="114"/>
      <c r="AD5" s="114"/>
      <c r="AE5" s="114"/>
      <c r="AF5" s="114"/>
      <c r="AG5" s="114"/>
      <c r="AH5" s="114"/>
      <c r="AI5" s="114"/>
      <c r="AJ5" s="114"/>
      <c r="AK5" s="115"/>
      <c r="AL5" s="95"/>
      <c r="AM5" s="95"/>
      <c r="AN5" s="95"/>
      <c r="AO5" s="95"/>
      <c r="AP5" s="95"/>
      <c r="AQ5" s="95"/>
      <c r="AR5" s="95"/>
      <c r="AS5" s="95"/>
    </row>
    <row r="6" ht="16.5" customHeight="1">
      <c r="A6" s="116" t="s">
        <v>74</v>
      </c>
      <c r="B6" s="117" t="s">
        <v>75</v>
      </c>
      <c r="C6" s="118" t="s">
        <v>15</v>
      </c>
      <c r="D6" s="119" t="s">
        <v>76</v>
      </c>
      <c r="E6" s="120"/>
      <c r="F6" s="119" t="s">
        <v>17</v>
      </c>
      <c r="G6" s="124"/>
      <c r="H6" s="125"/>
      <c r="I6" s="123">
        <f t="shared" si="1"/>
        <v>0</v>
      </c>
      <c r="J6" s="124"/>
      <c r="K6" s="125"/>
      <c r="L6" s="123">
        <f t="shared" si="2"/>
        <v>0</v>
      </c>
      <c r="M6" s="124"/>
      <c r="N6" s="125"/>
      <c r="O6" s="123">
        <f t="shared" si="3"/>
        <v>0</v>
      </c>
      <c r="P6" s="124"/>
      <c r="Q6" s="125"/>
      <c r="R6" s="123">
        <f t="shared" si="4"/>
        <v>0</v>
      </c>
      <c r="S6" s="124"/>
      <c r="T6" s="125"/>
      <c r="U6" s="123">
        <f t="shared" si="5"/>
        <v>0</v>
      </c>
      <c r="V6" s="126">
        <f t="shared" si="6"/>
        <v>0</v>
      </c>
      <c r="W6" s="12"/>
      <c r="X6" s="13"/>
      <c r="Y6" s="127"/>
      <c r="Z6" s="128"/>
      <c r="AA6" s="129"/>
      <c r="AB6" s="114"/>
      <c r="AC6" s="114"/>
      <c r="AD6" s="114"/>
      <c r="AE6" s="114"/>
      <c r="AF6" s="114"/>
      <c r="AG6" s="114"/>
      <c r="AH6" s="114"/>
      <c r="AI6" s="114"/>
      <c r="AJ6" s="114"/>
      <c r="AK6" s="115"/>
      <c r="AL6" s="95"/>
      <c r="AM6" s="95"/>
      <c r="AN6" s="95"/>
      <c r="AO6" s="95"/>
      <c r="AP6" s="95"/>
      <c r="AQ6" s="95"/>
      <c r="AR6" s="95"/>
      <c r="AS6" s="95"/>
    </row>
    <row r="7" ht="16.5" customHeight="1">
      <c r="A7" s="116" t="s">
        <v>77</v>
      </c>
      <c r="B7" s="117" t="s">
        <v>78</v>
      </c>
      <c r="C7" s="118" t="s">
        <v>15</v>
      </c>
      <c r="D7" s="119" t="s">
        <v>39</v>
      </c>
      <c r="E7" s="120"/>
      <c r="F7" s="119" t="s">
        <v>17</v>
      </c>
      <c r="G7" s="124"/>
      <c r="H7" s="125"/>
      <c r="I7" s="123">
        <f t="shared" si="1"/>
        <v>0</v>
      </c>
      <c r="J7" s="124"/>
      <c r="K7" s="125"/>
      <c r="L7" s="123">
        <f t="shared" si="2"/>
        <v>0</v>
      </c>
      <c r="M7" s="124"/>
      <c r="N7" s="125"/>
      <c r="O7" s="123">
        <f t="shared" si="3"/>
        <v>0</v>
      </c>
      <c r="P7" s="124"/>
      <c r="Q7" s="125"/>
      <c r="R7" s="123">
        <f t="shared" si="4"/>
        <v>0</v>
      </c>
      <c r="S7" s="124"/>
      <c r="T7" s="125"/>
      <c r="U7" s="123">
        <f t="shared" si="5"/>
        <v>0</v>
      </c>
      <c r="V7" s="126">
        <f t="shared" si="6"/>
        <v>0</v>
      </c>
      <c r="W7" s="12"/>
      <c r="X7" s="13"/>
      <c r="Y7" s="127"/>
      <c r="Z7" s="128"/>
      <c r="AA7" s="129"/>
      <c r="AB7" s="114"/>
      <c r="AC7" s="114"/>
      <c r="AD7" s="114"/>
      <c r="AE7" s="114"/>
      <c r="AF7" s="114"/>
      <c r="AG7" s="114"/>
      <c r="AH7" s="114"/>
      <c r="AI7" s="114"/>
      <c r="AJ7" s="114"/>
      <c r="AK7" s="115"/>
      <c r="AL7" s="95"/>
      <c r="AM7" s="95"/>
      <c r="AN7" s="95"/>
      <c r="AO7" s="95"/>
      <c r="AP7" s="95"/>
      <c r="AQ7" s="95"/>
      <c r="AR7" s="95"/>
      <c r="AS7" s="95"/>
    </row>
    <row r="8" ht="16.5" customHeight="1">
      <c r="A8" s="130"/>
      <c r="B8" s="117" t="s">
        <v>79</v>
      </c>
      <c r="C8" s="118" t="s">
        <v>15</v>
      </c>
      <c r="D8" s="119" t="s">
        <v>80</v>
      </c>
      <c r="E8" s="120"/>
      <c r="F8" s="119" t="s">
        <v>81</v>
      </c>
      <c r="G8" s="124"/>
      <c r="H8" s="125"/>
      <c r="I8" s="123"/>
      <c r="J8" s="124"/>
      <c r="K8" s="125"/>
      <c r="L8" s="123"/>
      <c r="M8" s="124"/>
      <c r="N8" s="125"/>
      <c r="O8" s="123"/>
      <c r="P8" s="124"/>
      <c r="Q8" s="125"/>
      <c r="R8" s="123"/>
      <c r="S8" s="124"/>
      <c r="T8" s="125"/>
      <c r="U8" s="123"/>
      <c r="V8" s="131"/>
      <c r="W8" s="131"/>
      <c r="X8" s="131"/>
      <c r="Y8" s="132"/>
      <c r="Z8" s="132"/>
      <c r="AA8" s="132"/>
      <c r="AB8" s="114"/>
      <c r="AC8" s="114"/>
      <c r="AD8" s="114"/>
      <c r="AE8" s="114"/>
      <c r="AF8" s="114"/>
      <c r="AG8" s="114"/>
      <c r="AH8" s="114"/>
      <c r="AI8" s="114"/>
      <c r="AJ8" s="114"/>
      <c r="AK8" s="115"/>
      <c r="AL8" s="95"/>
      <c r="AM8" s="95"/>
      <c r="AN8" s="95"/>
      <c r="AO8" s="95"/>
      <c r="AP8" s="95"/>
      <c r="AQ8" s="95"/>
      <c r="AR8" s="95"/>
      <c r="AS8" s="95"/>
    </row>
    <row r="9" ht="16.5" customHeight="1">
      <c r="A9" s="130"/>
      <c r="B9" s="117" t="s">
        <v>82</v>
      </c>
      <c r="C9" s="133"/>
      <c r="D9" s="120"/>
      <c r="E9" s="120"/>
      <c r="F9" s="134" t="s">
        <v>83</v>
      </c>
      <c r="G9" s="124"/>
      <c r="H9" s="125"/>
      <c r="I9" s="123">
        <f>G9/(1.0278-(0.0278*H9))</f>
        <v>0</v>
      </c>
      <c r="J9" s="124"/>
      <c r="K9" s="125"/>
      <c r="L9" s="123">
        <f>J9/(1.0278-(0.0278*K9))</f>
        <v>0</v>
      </c>
      <c r="M9" s="124"/>
      <c r="N9" s="125"/>
      <c r="O9" s="123">
        <f>M9/(1.0278-(0.0278*N9))</f>
        <v>0</v>
      </c>
      <c r="P9" s="124"/>
      <c r="Q9" s="125"/>
      <c r="R9" s="123">
        <f>P9/(1.0278-(0.0278*Q9))</f>
        <v>0</v>
      </c>
      <c r="S9" s="124"/>
      <c r="T9" s="125"/>
      <c r="U9" s="123">
        <f>S9/(1.0278-(0.0278*T9))</f>
        <v>0</v>
      </c>
      <c r="V9" s="126">
        <f>+G9*H9+J9*K9+M9*N9+P9*Q9+S9*T9</f>
        <v>0</v>
      </c>
      <c r="W9" s="12"/>
      <c r="X9" s="13"/>
      <c r="Y9" s="127"/>
      <c r="Z9" s="128"/>
      <c r="AA9" s="129"/>
      <c r="AB9" s="114"/>
      <c r="AC9" s="114"/>
      <c r="AD9" s="114"/>
      <c r="AE9" s="114"/>
      <c r="AF9" s="114"/>
      <c r="AG9" s="114"/>
      <c r="AH9" s="114"/>
      <c r="AI9" s="114"/>
      <c r="AJ9" s="114"/>
      <c r="AK9" s="115"/>
      <c r="AL9" s="95"/>
      <c r="AM9" s="95"/>
      <c r="AN9" s="95"/>
      <c r="AO9" s="95"/>
      <c r="AP9" s="95"/>
      <c r="AQ9" s="95"/>
      <c r="AR9" s="95"/>
      <c r="AS9" s="95"/>
    </row>
    <row r="10" ht="16.5" customHeight="1">
      <c r="A10" s="106" t="s">
        <v>68</v>
      </c>
      <c r="B10" s="135" t="s">
        <v>27</v>
      </c>
      <c r="C10" s="108" t="s">
        <v>6</v>
      </c>
      <c r="D10" s="108" t="s">
        <v>7</v>
      </c>
      <c r="E10" s="108" t="s">
        <v>8</v>
      </c>
      <c r="F10" s="108" t="s">
        <v>28</v>
      </c>
      <c r="G10" s="109" t="s">
        <v>10</v>
      </c>
      <c r="H10" s="110" t="s">
        <v>11</v>
      </c>
      <c r="I10" s="111" t="s">
        <v>12</v>
      </c>
      <c r="J10" s="109" t="s">
        <v>10</v>
      </c>
      <c r="K10" s="110" t="s">
        <v>11</v>
      </c>
      <c r="L10" s="111" t="s">
        <v>12</v>
      </c>
      <c r="M10" s="109" t="s">
        <v>10</v>
      </c>
      <c r="N10" s="110" t="s">
        <v>11</v>
      </c>
      <c r="O10" s="111" t="s">
        <v>12</v>
      </c>
      <c r="P10" s="109" t="s">
        <v>10</v>
      </c>
      <c r="Q10" s="110" t="s">
        <v>11</v>
      </c>
      <c r="R10" s="111" t="s">
        <v>12</v>
      </c>
      <c r="S10" s="109" t="s">
        <v>10</v>
      </c>
      <c r="T10" s="110" t="s">
        <v>11</v>
      </c>
      <c r="U10" s="111" t="s">
        <v>12</v>
      </c>
      <c r="V10" s="112" t="s">
        <v>13</v>
      </c>
      <c r="W10" s="93"/>
      <c r="X10" s="94"/>
      <c r="Y10" s="113" t="s">
        <v>69</v>
      </c>
      <c r="Z10" s="93"/>
      <c r="AA10" s="94"/>
      <c r="AB10" s="114"/>
      <c r="AC10" s="114"/>
      <c r="AD10" s="114"/>
      <c r="AE10" s="114"/>
      <c r="AF10" s="114"/>
      <c r="AG10" s="114"/>
      <c r="AH10" s="114"/>
      <c r="AI10" s="114"/>
      <c r="AJ10" s="114"/>
      <c r="AK10" s="115"/>
      <c r="AL10" s="95"/>
      <c r="AM10" s="95"/>
      <c r="AN10" s="95"/>
      <c r="AO10" s="95"/>
      <c r="AP10" s="95"/>
      <c r="AQ10" s="95"/>
      <c r="AR10" s="95"/>
      <c r="AS10" s="95"/>
    </row>
    <row r="11" ht="15.75" customHeight="1">
      <c r="A11" s="116" t="s">
        <v>70</v>
      </c>
      <c r="B11" s="117" t="s">
        <v>84</v>
      </c>
      <c r="C11" s="118" t="s">
        <v>15</v>
      </c>
      <c r="D11" s="119" t="s">
        <v>39</v>
      </c>
      <c r="E11" s="120"/>
      <c r="F11" s="119" t="s">
        <v>17</v>
      </c>
      <c r="G11" s="124"/>
      <c r="H11" s="125"/>
      <c r="I11" s="123">
        <f t="shared" ref="I11:I14" si="7">G11/(1.0278-(0.0278*H11))</f>
        <v>0</v>
      </c>
      <c r="J11" s="124"/>
      <c r="K11" s="125"/>
      <c r="L11" s="123">
        <f t="shared" ref="L11:L14" si="8">J11/(1.0278-(0.0278*K11))</f>
        <v>0</v>
      </c>
      <c r="M11" s="124"/>
      <c r="N11" s="125"/>
      <c r="O11" s="123">
        <f t="shared" ref="O11:O14" si="9">M11/(1.0278-(0.0278*N11))</f>
        <v>0</v>
      </c>
      <c r="P11" s="124"/>
      <c r="Q11" s="125"/>
      <c r="R11" s="123">
        <f t="shared" ref="R11:R14" si="10">P11/(1.0278-(0.0278*Q11))</f>
        <v>0</v>
      </c>
      <c r="S11" s="124"/>
      <c r="T11" s="125"/>
      <c r="U11" s="123">
        <f t="shared" ref="U11:U14" si="11">S11/(1.0278-(0.0278*T11))</f>
        <v>0</v>
      </c>
      <c r="V11" s="126">
        <f t="shared" ref="V11:V14" si="12">+G11*H11+J11*K11+M11*N11+P11*Q11+S11*T11</f>
        <v>0</v>
      </c>
      <c r="W11" s="12"/>
      <c r="X11" s="13"/>
      <c r="Y11" s="127"/>
      <c r="Z11" s="128"/>
      <c r="AA11" s="129"/>
      <c r="AB11" s="114"/>
      <c r="AC11" s="114"/>
      <c r="AD11" s="114"/>
      <c r="AE11" s="114"/>
      <c r="AF11" s="114"/>
      <c r="AG11" s="114"/>
      <c r="AH11" s="114"/>
      <c r="AI11" s="114"/>
      <c r="AJ11" s="114"/>
      <c r="AK11" s="115"/>
      <c r="AL11" s="95"/>
      <c r="AM11" s="95"/>
      <c r="AN11" s="95"/>
      <c r="AO11" s="95"/>
      <c r="AP11" s="95"/>
      <c r="AQ11" s="95"/>
      <c r="AR11" s="95"/>
      <c r="AS11" s="95"/>
    </row>
    <row r="12" ht="15.75" customHeight="1">
      <c r="A12" s="116" t="s">
        <v>72</v>
      </c>
      <c r="B12" s="117" t="s">
        <v>85</v>
      </c>
      <c r="C12" s="118" t="s">
        <v>15</v>
      </c>
      <c r="D12" s="119" t="s">
        <v>39</v>
      </c>
      <c r="E12" s="120"/>
      <c r="F12" s="119" t="s">
        <v>17</v>
      </c>
      <c r="G12" s="124"/>
      <c r="H12" s="125"/>
      <c r="I12" s="123">
        <f t="shared" si="7"/>
        <v>0</v>
      </c>
      <c r="J12" s="124"/>
      <c r="K12" s="125"/>
      <c r="L12" s="123">
        <f t="shared" si="8"/>
        <v>0</v>
      </c>
      <c r="M12" s="124"/>
      <c r="N12" s="125"/>
      <c r="O12" s="123">
        <f t="shared" si="9"/>
        <v>0</v>
      </c>
      <c r="P12" s="124"/>
      <c r="Q12" s="125"/>
      <c r="R12" s="123">
        <f t="shared" si="10"/>
        <v>0</v>
      </c>
      <c r="S12" s="124"/>
      <c r="T12" s="125"/>
      <c r="U12" s="123">
        <f t="shared" si="11"/>
        <v>0</v>
      </c>
      <c r="V12" s="126">
        <f t="shared" si="12"/>
        <v>0</v>
      </c>
      <c r="W12" s="12"/>
      <c r="X12" s="13"/>
      <c r="Y12" s="127"/>
      <c r="Z12" s="128"/>
      <c r="AA12" s="129"/>
      <c r="AB12" s="114"/>
      <c r="AC12" s="114"/>
      <c r="AD12" s="114"/>
      <c r="AE12" s="114"/>
      <c r="AF12" s="114"/>
      <c r="AG12" s="114"/>
      <c r="AH12" s="114"/>
      <c r="AI12" s="114"/>
      <c r="AJ12" s="114"/>
      <c r="AK12" s="115"/>
      <c r="AL12" s="95"/>
      <c r="AM12" s="95"/>
      <c r="AN12" s="95"/>
      <c r="AO12" s="95"/>
      <c r="AP12" s="95"/>
      <c r="AQ12" s="95"/>
      <c r="AR12" s="95"/>
      <c r="AS12" s="95"/>
    </row>
    <row r="13" ht="15.75" customHeight="1">
      <c r="A13" s="116" t="s">
        <v>74</v>
      </c>
      <c r="B13" s="117" t="s">
        <v>32</v>
      </c>
      <c r="C13" s="118" t="s">
        <v>15</v>
      </c>
      <c r="D13" s="119" t="s">
        <v>39</v>
      </c>
      <c r="E13" s="136"/>
      <c r="F13" s="137">
        <v>60.0</v>
      </c>
      <c r="G13" s="124"/>
      <c r="H13" s="125"/>
      <c r="I13" s="123">
        <f t="shared" si="7"/>
        <v>0</v>
      </c>
      <c r="J13" s="124"/>
      <c r="K13" s="125"/>
      <c r="L13" s="123">
        <f t="shared" si="8"/>
        <v>0</v>
      </c>
      <c r="M13" s="124"/>
      <c r="N13" s="125"/>
      <c r="O13" s="123">
        <f t="shared" si="9"/>
        <v>0</v>
      </c>
      <c r="P13" s="124"/>
      <c r="Q13" s="125"/>
      <c r="R13" s="123">
        <f t="shared" si="10"/>
        <v>0</v>
      </c>
      <c r="S13" s="124"/>
      <c r="T13" s="125"/>
      <c r="U13" s="123">
        <f t="shared" si="11"/>
        <v>0</v>
      </c>
      <c r="V13" s="126">
        <f t="shared" si="12"/>
        <v>0</v>
      </c>
      <c r="W13" s="12"/>
      <c r="X13" s="13"/>
      <c r="Y13" s="127"/>
      <c r="Z13" s="128"/>
      <c r="AA13" s="129"/>
      <c r="AB13" s="114"/>
      <c r="AC13" s="114"/>
      <c r="AD13" s="114"/>
      <c r="AE13" s="114"/>
      <c r="AF13" s="114"/>
      <c r="AG13" s="114"/>
      <c r="AH13" s="114"/>
      <c r="AI13" s="114"/>
      <c r="AJ13" s="114"/>
      <c r="AK13" s="115"/>
      <c r="AL13" s="95"/>
      <c r="AM13" s="95"/>
      <c r="AN13" s="95"/>
      <c r="AO13" s="95"/>
      <c r="AP13" s="95"/>
      <c r="AQ13" s="95"/>
      <c r="AR13" s="95"/>
      <c r="AS13" s="95"/>
    </row>
    <row r="14" ht="15.75" customHeight="1">
      <c r="A14" s="116" t="s">
        <v>77</v>
      </c>
      <c r="B14" s="117" t="s">
        <v>86</v>
      </c>
      <c r="C14" s="138" t="s">
        <v>15</v>
      </c>
      <c r="D14" s="119" t="s">
        <v>39</v>
      </c>
      <c r="E14" s="136"/>
      <c r="F14" s="137">
        <v>60.0</v>
      </c>
      <c r="G14" s="124"/>
      <c r="H14" s="125"/>
      <c r="I14" s="123">
        <f t="shared" si="7"/>
        <v>0</v>
      </c>
      <c r="J14" s="124"/>
      <c r="K14" s="125"/>
      <c r="L14" s="123">
        <f t="shared" si="8"/>
        <v>0</v>
      </c>
      <c r="M14" s="124"/>
      <c r="N14" s="125"/>
      <c r="O14" s="123">
        <f t="shared" si="9"/>
        <v>0</v>
      </c>
      <c r="P14" s="124"/>
      <c r="Q14" s="125"/>
      <c r="R14" s="123">
        <f t="shared" si="10"/>
        <v>0</v>
      </c>
      <c r="S14" s="124"/>
      <c r="T14" s="125"/>
      <c r="U14" s="123">
        <f t="shared" si="11"/>
        <v>0</v>
      </c>
      <c r="V14" s="126">
        <f t="shared" si="12"/>
        <v>0</v>
      </c>
      <c r="W14" s="12"/>
      <c r="X14" s="13"/>
      <c r="Y14" s="127"/>
      <c r="Z14" s="128"/>
      <c r="AA14" s="129"/>
      <c r="AB14" s="114"/>
      <c r="AC14" s="114"/>
      <c r="AD14" s="114"/>
      <c r="AE14" s="114"/>
      <c r="AF14" s="114"/>
      <c r="AG14" s="114"/>
      <c r="AH14" s="114"/>
      <c r="AI14" s="114"/>
      <c r="AJ14" s="114"/>
      <c r="AK14" s="115"/>
      <c r="AL14" s="95"/>
      <c r="AM14" s="95"/>
      <c r="AN14" s="95"/>
      <c r="AO14" s="95"/>
      <c r="AP14" s="95"/>
      <c r="AQ14" s="95"/>
      <c r="AR14" s="95"/>
      <c r="AS14" s="95"/>
    </row>
    <row r="15" ht="15.75" customHeight="1">
      <c r="A15" s="130"/>
      <c r="B15" s="117" t="s">
        <v>87</v>
      </c>
      <c r="C15" s="118" t="s">
        <v>15</v>
      </c>
      <c r="D15" s="119" t="s">
        <v>39</v>
      </c>
      <c r="E15" s="136"/>
      <c r="F15" s="137"/>
      <c r="G15" s="124"/>
      <c r="H15" s="125"/>
      <c r="I15" s="123"/>
      <c r="J15" s="124"/>
      <c r="K15" s="125"/>
      <c r="L15" s="123"/>
      <c r="M15" s="124"/>
      <c r="N15" s="125"/>
      <c r="O15" s="123"/>
      <c r="P15" s="124"/>
      <c r="Q15" s="125"/>
      <c r="R15" s="123"/>
      <c r="S15" s="124"/>
      <c r="T15" s="125"/>
      <c r="U15" s="123"/>
      <c r="V15" s="131"/>
      <c r="W15" s="131"/>
      <c r="X15" s="131"/>
      <c r="Y15" s="132"/>
      <c r="Z15" s="132"/>
      <c r="AA15" s="132"/>
      <c r="AB15" s="114"/>
      <c r="AC15" s="114"/>
      <c r="AD15" s="114"/>
      <c r="AE15" s="114"/>
      <c r="AF15" s="114"/>
      <c r="AG15" s="114"/>
      <c r="AH15" s="114"/>
      <c r="AI15" s="114"/>
      <c r="AJ15" s="114"/>
      <c r="AK15" s="115"/>
      <c r="AL15" s="95"/>
      <c r="AM15" s="95"/>
      <c r="AN15" s="95"/>
      <c r="AO15" s="95"/>
      <c r="AP15" s="95"/>
      <c r="AQ15" s="95"/>
      <c r="AR15" s="95"/>
      <c r="AS15" s="95"/>
    </row>
    <row r="16" ht="15.75" customHeight="1">
      <c r="A16" s="130"/>
      <c r="B16" s="117" t="s">
        <v>88</v>
      </c>
      <c r="C16" s="118" t="s">
        <v>15</v>
      </c>
      <c r="D16" s="119" t="s">
        <v>89</v>
      </c>
      <c r="E16" s="136"/>
      <c r="F16" s="137">
        <v>60.0</v>
      </c>
      <c r="G16" s="124"/>
      <c r="H16" s="125"/>
      <c r="I16" s="123">
        <f>G16/(1.0278-(0.0278*H16))</f>
        <v>0</v>
      </c>
      <c r="J16" s="124"/>
      <c r="K16" s="125"/>
      <c r="L16" s="123">
        <f>J16/(1.0278-(0.0278*K16))</f>
        <v>0</v>
      </c>
      <c r="M16" s="124"/>
      <c r="N16" s="125"/>
      <c r="O16" s="123">
        <f>M16/(1.0278-(0.0278*N16))</f>
        <v>0</v>
      </c>
      <c r="P16" s="124"/>
      <c r="Q16" s="125"/>
      <c r="R16" s="123">
        <f>P16/(1.0278-(0.0278*Q16))</f>
        <v>0</v>
      </c>
      <c r="S16" s="124"/>
      <c r="T16" s="125"/>
      <c r="U16" s="123">
        <f>S16/(1.0278-(0.0278*T16))</f>
        <v>0</v>
      </c>
      <c r="V16" s="126">
        <f>+G16*H16+J16*K16+M16*N16+P16*Q16+S16*T16</f>
        <v>0</v>
      </c>
      <c r="W16" s="12"/>
      <c r="X16" s="13"/>
      <c r="Y16" s="127"/>
      <c r="Z16" s="128"/>
      <c r="AA16" s="129"/>
      <c r="AB16" s="114"/>
      <c r="AC16" s="114"/>
      <c r="AD16" s="114"/>
      <c r="AE16" s="114"/>
      <c r="AF16" s="114"/>
      <c r="AG16" s="114"/>
      <c r="AH16" s="114"/>
      <c r="AI16" s="114"/>
      <c r="AJ16" s="114"/>
      <c r="AK16" s="115"/>
      <c r="AL16" s="95"/>
      <c r="AM16" s="95"/>
      <c r="AN16" s="95"/>
      <c r="AO16" s="95"/>
      <c r="AP16" s="95"/>
      <c r="AQ16" s="95"/>
      <c r="AR16" s="95"/>
      <c r="AS16" s="95"/>
    </row>
    <row r="17" ht="16.5" customHeight="1">
      <c r="A17" s="106" t="s">
        <v>68</v>
      </c>
      <c r="B17" s="135" t="s">
        <v>35</v>
      </c>
      <c r="C17" s="108" t="s">
        <v>6</v>
      </c>
      <c r="D17" s="108" t="s">
        <v>7</v>
      </c>
      <c r="E17" s="108" t="s">
        <v>8</v>
      </c>
      <c r="F17" s="108" t="s">
        <v>28</v>
      </c>
      <c r="G17" s="109" t="s">
        <v>10</v>
      </c>
      <c r="H17" s="110" t="s">
        <v>11</v>
      </c>
      <c r="I17" s="111" t="s">
        <v>12</v>
      </c>
      <c r="J17" s="109" t="s">
        <v>10</v>
      </c>
      <c r="K17" s="110" t="s">
        <v>11</v>
      </c>
      <c r="L17" s="111" t="s">
        <v>12</v>
      </c>
      <c r="M17" s="109" t="s">
        <v>10</v>
      </c>
      <c r="N17" s="110" t="s">
        <v>11</v>
      </c>
      <c r="O17" s="111" t="s">
        <v>12</v>
      </c>
      <c r="P17" s="109" t="s">
        <v>10</v>
      </c>
      <c r="Q17" s="110" t="s">
        <v>11</v>
      </c>
      <c r="R17" s="111" t="s">
        <v>12</v>
      </c>
      <c r="S17" s="109" t="s">
        <v>10</v>
      </c>
      <c r="T17" s="110" t="s">
        <v>11</v>
      </c>
      <c r="U17" s="111" t="s">
        <v>12</v>
      </c>
      <c r="V17" s="112" t="s">
        <v>13</v>
      </c>
      <c r="W17" s="93"/>
      <c r="X17" s="94"/>
      <c r="Y17" s="113" t="s">
        <v>69</v>
      </c>
      <c r="Z17" s="93"/>
      <c r="AA17" s="94"/>
      <c r="AB17" s="114"/>
      <c r="AC17" s="114"/>
      <c r="AD17" s="114"/>
      <c r="AE17" s="114"/>
      <c r="AF17" s="114"/>
      <c r="AG17" s="114"/>
      <c r="AH17" s="114"/>
      <c r="AI17" s="114"/>
      <c r="AJ17" s="114"/>
      <c r="AK17" s="115"/>
      <c r="AL17" s="95"/>
      <c r="AM17" s="95"/>
      <c r="AN17" s="95"/>
      <c r="AO17" s="95"/>
      <c r="AP17" s="95"/>
      <c r="AQ17" s="95"/>
      <c r="AR17" s="95"/>
      <c r="AS17" s="95"/>
    </row>
    <row r="18" ht="16.5" customHeight="1">
      <c r="A18" s="139" t="s">
        <v>90</v>
      </c>
      <c r="B18" s="140" t="s">
        <v>91</v>
      </c>
      <c r="C18" s="141"/>
      <c r="D18" s="142"/>
      <c r="E18" s="142"/>
      <c r="F18" s="142"/>
      <c r="G18" s="124"/>
      <c r="H18" s="125"/>
      <c r="I18" s="123">
        <f>G18/(1.0278-(0.0278*H18))</f>
        <v>0</v>
      </c>
      <c r="J18" s="124"/>
      <c r="K18" s="125"/>
      <c r="L18" s="123">
        <f>J18/(1.0278-(0.0278*K18))</f>
        <v>0</v>
      </c>
      <c r="M18" s="124"/>
      <c r="N18" s="125"/>
      <c r="O18" s="123">
        <f>M18/(1.0278-(0.0278*N18))</f>
        <v>0</v>
      </c>
      <c r="P18" s="124"/>
      <c r="Q18" s="125"/>
      <c r="R18" s="123">
        <f>P18/(1.0278-(0.0278*Q18))</f>
        <v>0</v>
      </c>
      <c r="S18" s="124"/>
      <c r="T18" s="125"/>
      <c r="U18" s="123">
        <f>S18/(1.0278-(0.0278*T18))</f>
        <v>0</v>
      </c>
      <c r="V18" s="126">
        <f>+G18*H18+J18*K18+M18*N18+P18*Q18+S18*T18</f>
        <v>0</v>
      </c>
      <c r="W18" s="12"/>
      <c r="X18" s="13"/>
      <c r="Y18" s="127"/>
      <c r="Z18" s="128"/>
      <c r="AA18" s="129"/>
      <c r="AB18" s="114"/>
      <c r="AC18" s="114"/>
      <c r="AD18" s="114"/>
      <c r="AE18" s="114"/>
      <c r="AF18" s="114"/>
      <c r="AG18" s="114"/>
      <c r="AH18" s="114"/>
      <c r="AI18" s="114"/>
      <c r="AJ18" s="114"/>
      <c r="AK18" s="115"/>
      <c r="AL18" s="95"/>
      <c r="AM18" s="95"/>
      <c r="AN18" s="95"/>
      <c r="AO18" s="95"/>
      <c r="AP18" s="95"/>
      <c r="AQ18" s="95"/>
      <c r="AR18" s="95"/>
      <c r="AS18" s="95"/>
    </row>
    <row r="19" ht="16.5" customHeight="1">
      <c r="A19" s="106" t="s">
        <v>68</v>
      </c>
      <c r="B19" s="135" t="s">
        <v>37</v>
      </c>
      <c r="C19" s="143" t="s">
        <v>6</v>
      </c>
      <c r="D19" s="143" t="s">
        <v>7</v>
      </c>
      <c r="E19" s="144" t="s">
        <v>8</v>
      </c>
      <c r="F19" s="108" t="s">
        <v>28</v>
      </c>
      <c r="G19" s="109" t="s">
        <v>10</v>
      </c>
      <c r="H19" s="110" t="s">
        <v>11</v>
      </c>
      <c r="I19" s="111" t="s">
        <v>12</v>
      </c>
      <c r="J19" s="109" t="s">
        <v>10</v>
      </c>
      <c r="K19" s="110" t="s">
        <v>11</v>
      </c>
      <c r="L19" s="111" t="s">
        <v>12</v>
      </c>
      <c r="M19" s="109" t="s">
        <v>10</v>
      </c>
      <c r="N19" s="110" t="s">
        <v>11</v>
      </c>
      <c r="O19" s="111" t="s">
        <v>12</v>
      </c>
      <c r="P19" s="109" t="s">
        <v>10</v>
      </c>
      <c r="Q19" s="110" t="s">
        <v>11</v>
      </c>
      <c r="R19" s="111" t="s">
        <v>12</v>
      </c>
      <c r="S19" s="109" t="s">
        <v>10</v>
      </c>
      <c r="T19" s="110" t="s">
        <v>11</v>
      </c>
      <c r="U19" s="111" t="s">
        <v>12</v>
      </c>
      <c r="V19" s="112" t="s">
        <v>13</v>
      </c>
      <c r="W19" s="93"/>
      <c r="X19" s="94"/>
      <c r="Y19" s="113" t="s">
        <v>69</v>
      </c>
      <c r="Z19" s="93"/>
      <c r="AA19" s="94"/>
      <c r="AB19" s="114"/>
      <c r="AC19" s="114"/>
      <c r="AD19" s="114"/>
      <c r="AE19" s="114"/>
      <c r="AF19" s="114"/>
      <c r="AG19" s="114"/>
      <c r="AH19" s="114"/>
      <c r="AI19" s="114"/>
      <c r="AJ19" s="114"/>
      <c r="AK19" s="115"/>
      <c r="AL19" s="95"/>
      <c r="AM19" s="95"/>
      <c r="AN19" s="95"/>
      <c r="AO19" s="95"/>
      <c r="AP19" s="95"/>
      <c r="AQ19" s="95"/>
      <c r="AR19" s="95"/>
      <c r="AS19" s="95"/>
    </row>
    <row r="20" ht="16.5" customHeight="1">
      <c r="A20" s="145" t="s">
        <v>92</v>
      </c>
      <c r="B20" s="140" t="s">
        <v>93</v>
      </c>
      <c r="C20" s="146" t="s">
        <v>94</v>
      </c>
      <c r="D20" s="147" t="s">
        <v>39</v>
      </c>
      <c r="E20" s="142"/>
      <c r="F20" s="147" t="s">
        <v>17</v>
      </c>
      <c r="G20" s="124"/>
      <c r="H20" s="125"/>
      <c r="I20" s="123">
        <f t="shared" ref="I20:I23" si="13">G20/(1.0278-(0.0278*H20))</f>
        <v>0</v>
      </c>
      <c r="J20" s="124"/>
      <c r="K20" s="125"/>
      <c r="L20" s="123">
        <f t="shared" ref="L20:L23" si="14">J20/(1.0278-(0.0278*K20))</f>
        <v>0</v>
      </c>
      <c r="M20" s="124"/>
      <c r="N20" s="125"/>
      <c r="O20" s="123">
        <f t="shared" ref="O20:O23" si="15">M20/(1.0278-(0.0278*N20))</f>
        <v>0</v>
      </c>
      <c r="P20" s="124"/>
      <c r="Q20" s="125"/>
      <c r="R20" s="123">
        <f t="shared" ref="R20:R23" si="16">P20/(1.0278-(0.0278*Q20))</f>
        <v>0</v>
      </c>
      <c r="S20" s="124"/>
      <c r="T20" s="125"/>
      <c r="U20" s="123">
        <f t="shared" ref="U20:U23" si="17">S20/(1.0278-(0.0278*T20))</f>
        <v>0</v>
      </c>
      <c r="V20" s="126">
        <f t="shared" ref="V20:V23" si="18">+G20*H20+J20*K20+M20*N20+P20*Q20+S20*T20</f>
        <v>0</v>
      </c>
      <c r="W20" s="12"/>
      <c r="X20" s="13"/>
      <c r="Y20" s="148"/>
      <c r="Z20" s="128"/>
      <c r="AA20" s="129"/>
      <c r="AB20" s="114"/>
      <c r="AC20" s="114"/>
      <c r="AD20" s="114"/>
      <c r="AE20" s="114"/>
      <c r="AF20" s="114"/>
      <c r="AG20" s="114"/>
      <c r="AH20" s="114"/>
      <c r="AI20" s="114"/>
      <c r="AJ20" s="114"/>
      <c r="AK20" s="115"/>
      <c r="AL20" s="95"/>
      <c r="AM20" s="95"/>
      <c r="AN20" s="95"/>
      <c r="AO20" s="95"/>
      <c r="AP20" s="95"/>
      <c r="AQ20" s="95"/>
      <c r="AR20" s="95"/>
      <c r="AS20" s="95"/>
    </row>
    <row r="21" ht="16.5" customHeight="1">
      <c r="A21" s="116" t="s">
        <v>95</v>
      </c>
      <c r="B21" s="117" t="s">
        <v>96</v>
      </c>
      <c r="C21" s="138" t="s">
        <v>15</v>
      </c>
      <c r="D21" s="119" t="s">
        <v>39</v>
      </c>
      <c r="E21" s="120"/>
      <c r="F21" s="119" t="s">
        <v>17</v>
      </c>
      <c r="G21" s="124"/>
      <c r="H21" s="125"/>
      <c r="I21" s="123">
        <f t="shared" si="13"/>
        <v>0</v>
      </c>
      <c r="J21" s="124"/>
      <c r="K21" s="125"/>
      <c r="L21" s="123">
        <f t="shared" si="14"/>
        <v>0</v>
      </c>
      <c r="M21" s="124"/>
      <c r="N21" s="125"/>
      <c r="O21" s="123">
        <f t="shared" si="15"/>
        <v>0</v>
      </c>
      <c r="P21" s="124"/>
      <c r="Q21" s="125"/>
      <c r="R21" s="123">
        <f t="shared" si="16"/>
        <v>0</v>
      </c>
      <c r="S21" s="124"/>
      <c r="T21" s="125"/>
      <c r="U21" s="123">
        <f t="shared" si="17"/>
        <v>0</v>
      </c>
      <c r="V21" s="126">
        <f t="shared" si="18"/>
        <v>0</v>
      </c>
      <c r="W21" s="12"/>
      <c r="X21" s="13"/>
      <c r="Y21" s="127"/>
      <c r="Z21" s="128"/>
      <c r="AA21" s="129"/>
      <c r="AB21" s="114"/>
      <c r="AC21" s="114"/>
      <c r="AD21" s="114"/>
      <c r="AE21" s="114"/>
      <c r="AF21" s="114"/>
      <c r="AG21" s="114"/>
      <c r="AH21" s="114"/>
      <c r="AI21" s="114"/>
      <c r="AJ21" s="114"/>
      <c r="AK21" s="115"/>
      <c r="AL21" s="95"/>
      <c r="AM21" s="95"/>
      <c r="AN21" s="95"/>
      <c r="AO21" s="95"/>
      <c r="AP21" s="95"/>
      <c r="AQ21" s="95"/>
      <c r="AR21" s="95"/>
      <c r="AS21" s="95"/>
    </row>
    <row r="22" ht="15.75" customHeight="1">
      <c r="A22" s="116" t="s">
        <v>97</v>
      </c>
      <c r="B22" s="117" t="s">
        <v>98</v>
      </c>
      <c r="C22" s="118" t="s">
        <v>15</v>
      </c>
      <c r="D22" s="119" t="s">
        <v>39</v>
      </c>
      <c r="E22" s="120"/>
      <c r="F22" s="119" t="s">
        <v>17</v>
      </c>
      <c r="G22" s="124"/>
      <c r="H22" s="125"/>
      <c r="I22" s="123">
        <f t="shared" si="13"/>
        <v>0</v>
      </c>
      <c r="J22" s="124"/>
      <c r="K22" s="125"/>
      <c r="L22" s="123">
        <f t="shared" si="14"/>
        <v>0</v>
      </c>
      <c r="M22" s="124"/>
      <c r="N22" s="125"/>
      <c r="O22" s="123">
        <f t="shared" si="15"/>
        <v>0</v>
      </c>
      <c r="P22" s="124"/>
      <c r="Q22" s="125"/>
      <c r="R22" s="123">
        <f t="shared" si="16"/>
        <v>0</v>
      </c>
      <c r="S22" s="124"/>
      <c r="T22" s="125"/>
      <c r="U22" s="123">
        <f t="shared" si="17"/>
        <v>0</v>
      </c>
      <c r="V22" s="126">
        <f t="shared" si="18"/>
        <v>0</v>
      </c>
      <c r="W22" s="12"/>
      <c r="X22" s="13"/>
      <c r="Y22" s="127"/>
      <c r="Z22" s="128"/>
      <c r="AA22" s="129"/>
      <c r="AB22" s="114"/>
      <c r="AC22" s="114"/>
      <c r="AD22" s="114"/>
      <c r="AE22" s="114"/>
      <c r="AF22" s="114"/>
      <c r="AG22" s="114"/>
      <c r="AH22" s="114"/>
      <c r="AI22" s="114"/>
      <c r="AJ22" s="114"/>
      <c r="AK22" s="115"/>
      <c r="AL22" s="95"/>
      <c r="AM22" s="95"/>
      <c r="AN22" s="95"/>
      <c r="AO22" s="95"/>
      <c r="AP22" s="95"/>
      <c r="AQ22" s="95"/>
      <c r="AR22" s="95"/>
      <c r="AS22" s="95"/>
    </row>
    <row r="23" ht="15.75" customHeight="1">
      <c r="A23" s="116" t="s">
        <v>99</v>
      </c>
      <c r="B23" s="117" t="s">
        <v>100</v>
      </c>
      <c r="C23" s="138" t="s">
        <v>15</v>
      </c>
      <c r="D23" s="119" t="s">
        <v>39</v>
      </c>
      <c r="E23" s="120"/>
      <c r="F23" s="119" t="s">
        <v>17</v>
      </c>
      <c r="G23" s="124"/>
      <c r="H23" s="125"/>
      <c r="I23" s="123">
        <f t="shared" si="13"/>
        <v>0</v>
      </c>
      <c r="J23" s="124"/>
      <c r="K23" s="125"/>
      <c r="L23" s="123">
        <f t="shared" si="14"/>
        <v>0</v>
      </c>
      <c r="M23" s="124"/>
      <c r="N23" s="125"/>
      <c r="O23" s="123">
        <f t="shared" si="15"/>
        <v>0</v>
      </c>
      <c r="P23" s="124"/>
      <c r="Q23" s="125"/>
      <c r="R23" s="123">
        <f t="shared" si="16"/>
        <v>0</v>
      </c>
      <c r="S23" s="124"/>
      <c r="T23" s="125"/>
      <c r="U23" s="123">
        <f t="shared" si="17"/>
        <v>0</v>
      </c>
      <c r="V23" s="126">
        <f t="shared" si="18"/>
        <v>0</v>
      </c>
      <c r="W23" s="12"/>
      <c r="X23" s="13"/>
      <c r="Y23" s="127"/>
      <c r="Z23" s="128"/>
      <c r="AA23" s="129"/>
      <c r="AB23" s="114"/>
      <c r="AC23" s="114"/>
      <c r="AD23" s="114"/>
      <c r="AE23" s="114"/>
      <c r="AF23" s="114"/>
      <c r="AG23" s="114"/>
      <c r="AH23" s="114"/>
      <c r="AI23" s="114"/>
      <c r="AJ23" s="114"/>
      <c r="AK23" s="115"/>
      <c r="AL23" s="95"/>
      <c r="AM23" s="95"/>
      <c r="AN23" s="95"/>
      <c r="AO23" s="95"/>
      <c r="AP23" s="95"/>
      <c r="AQ23" s="95"/>
      <c r="AR23" s="95"/>
      <c r="AS23" s="95"/>
    </row>
    <row r="24" ht="15.75" customHeight="1">
      <c r="A24" s="116" t="s">
        <v>101</v>
      </c>
      <c r="B24" s="117" t="s">
        <v>102</v>
      </c>
      <c r="C24" s="118" t="s">
        <v>15</v>
      </c>
      <c r="D24" s="119" t="s">
        <v>39</v>
      </c>
      <c r="E24" s="120"/>
      <c r="F24" s="119"/>
      <c r="G24" s="124"/>
      <c r="H24" s="125"/>
      <c r="I24" s="123"/>
      <c r="J24" s="124"/>
      <c r="K24" s="125"/>
      <c r="L24" s="123"/>
      <c r="M24" s="124"/>
      <c r="N24" s="125"/>
      <c r="O24" s="123"/>
      <c r="P24" s="124"/>
      <c r="Q24" s="125"/>
      <c r="R24" s="123"/>
      <c r="S24" s="124"/>
      <c r="T24" s="125"/>
      <c r="U24" s="123"/>
      <c r="V24" s="131"/>
      <c r="W24" s="131"/>
      <c r="X24" s="131"/>
      <c r="Y24" s="132"/>
      <c r="Z24" s="132"/>
      <c r="AA24" s="132"/>
      <c r="AB24" s="114"/>
      <c r="AC24" s="114"/>
      <c r="AD24" s="114"/>
      <c r="AE24" s="114"/>
      <c r="AF24" s="114"/>
      <c r="AG24" s="114"/>
      <c r="AH24" s="114"/>
      <c r="AI24" s="114"/>
      <c r="AJ24" s="114"/>
      <c r="AK24" s="115"/>
      <c r="AL24" s="95"/>
      <c r="AM24" s="95"/>
      <c r="AN24" s="95"/>
      <c r="AO24" s="95"/>
      <c r="AP24" s="95"/>
      <c r="AQ24" s="95"/>
      <c r="AR24" s="95"/>
      <c r="AS24" s="95"/>
    </row>
    <row r="25" ht="15.75" customHeight="1">
      <c r="A25" s="116" t="s">
        <v>103</v>
      </c>
      <c r="B25" s="117" t="s">
        <v>104</v>
      </c>
      <c r="C25" s="118" t="s">
        <v>15</v>
      </c>
      <c r="D25" s="119" t="s">
        <v>39</v>
      </c>
      <c r="E25" s="120"/>
      <c r="F25" s="119"/>
      <c r="G25" s="124"/>
      <c r="H25" s="125"/>
      <c r="I25" s="123"/>
      <c r="J25" s="124"/>
      <c r="K25" s="125"/>
      <c r="L25" s="123"/>
      <c r="M25" s="124"/>
      <c r="N25" s="125"/>
      <c r="O25" s="123"/>
      <c r="P25" s="124"/>
      <c r="Q25" s="125"/>
      <c r="R25" s="123"/>
      <c r="S25" s="124"/>
      <c r="T25" s="125"/>
      <c r="U25" s="123"/>
      <c r="V25" s="131"/>
      <c r="W25" s="131"/>
      <c r="X25" s="131"/>
      <c r="Y25" s="132"/>
      <c r="Z25" s="132"/>
      <c r="AA25" s="132"/>
      <c r="AB25" s="114"/>
      <c r="AC25" s="114"/>
      <c r="AD25" s="114"/>
      <c r="AE25" s="114"/>
      <c r="AF25" s="114"/>
      <c r="AG25" s="114"/>
      <c r="AH25" s="114"/>
      <c r="AI25" s="114"/>
      <c r="AJ25" s="114"/>
      <c r="AK25" s="115"/>
      <c r="AL25" s="95"/>
      <c r="AM25" s="95"/>
      <c r="AN25" s="95"/>
      <c r="AO25" s="95"/>
      <c r="AP25" s="95"/>
      <c r="AQ25" s="95"/>
      <c r="AR25" s="95"/>
      <c r="AS25" s="95"/>
    </row>
    <row r="26" ht="15.75" customHeight="1">
      <c r="A26" s="130"/>
      <c r="B26" s="117" t="s">
        <v>105</v>
      </c>
      <c r="C26" s="118" t="s">
        <v>106</v>
      </c>
      <c r="D26" s="119" t="s">
        <v>107</v>
      </c>
      <c r="E26" s="120"/>
      <c r="F26" s="119" t="s">
        <v>17</v>
      </c>
      <c r="G26" s="124"/>
      <c r="H26" s="125"/>
      <c r="I26" s="123">
        <f>G26/(1.0278-(0.0278*H26))</f>
        <v>0</v>
      </c>
      <c r="J26" s="124"/>
      <c r="K26" s="125"/>
      <c r="L26" s="123">
        <f>J26/(1.0278-(0.0278*K26))</f>
        <v>0</v>
      </c>
      <c r="M26" s="124"/>
      <c r="N26" s="125"/>
      <c r="O26" s="123">
        <f>M26/(1.0278-(0.0278*N26))</f>
        <v>0</v>
      </c>
      <c r="P26" s="124"/>
      <c r="Q26" s="125"/>
      <c r="R26" s="123">
        <f>P26/(1.0278-(0.0278*Q26))</f>
        <v>0</v>
      </c>
      <c r="S26" s="124"/>
      <c r="T26" s="125"/>
      <c r="U26" s="123">
        <f>S26/(1.0278-(0.0278*T26))</f>
        <v>0</v>
      </c>
      <c r="V26" s="126">
        <f>+G26*H26+J26*K26+M26*N26+P26*Q26+S26*T26</f>
        <v>0</v>
      </c>
      <c r="W26" s="12"/>
      <c r="X26" s="13"/>
      <c r="Y26" s="127"/>
      <c r="Z26" s="128"/>
      <c r="AA26" s="129"/>
      <c r="AB26" s="114"/>
      <c r="AC26" s="114"/>
      <c r="AD26" s="114"/>
      <c r="AE26" s="114"/>
      <c r="AF26" s="114"/>
      <c r="AG26" s="114"/>
      <c r="AH26" s="114"/>
      <c r="AI26" s="114"/>
      <c r="AJ26" s="114"/>
      <c r="AK26" s="115"/>
      <c r="AL26" s="95"/>
      <c r="AM26" s="95"/>
      <c r="AN26" s="95"/>
      <c r="AO26" s="95"/>
      <c r="AP26" s="95"/>
      <c r="AQ26" s="95"/>
      <c r="AR26" s="95"/>
      <c r="AS26" s="95"/>
    </row>
    <row r="27" ht="15.0" customHeight="1">
      <c r="A27" s="106" t="s">
        <v>68</v>
      </c>
      <c r="B27" s="135" t="s">
        <v>42</v>
      </c>
      <c r="C27" s="143" t="s">
        <v>6</v>
      </c>
      <c r="D27" s="143" t="s">
        <v>7</v>
      </c>
      <c r="E27" s="144" t="s">
        <v>8</v>
      </c>
      <c r="F27" s="108" t="s">
        <v>28</v>
      </c>
      <c r="G27" s="109" t="s">
        <v>10</v>
      </c>
      <c r="H27" s="110" t="s">
        <v>11</v>
      </c>
      <c r="I27" s="111" t="s">
        <v>12</v>
      </c>
      <c r="J27" s="109" t="s">
        <v>10</v>
      </c>
      <c r="K27" s="110" t="s">
        <v>11</v>
      </c>
      <c r="L27" s="111" t="s">
        <v>12</v>
      </c>
      <c r="M27" s="109" t="s">
        <v>10</v>
      </c>
      <c r="N27" s="110" t="s">
        <v>11</v>
      </c>
      <c r="O27" s="111" t="s">
        <v>12</v>
      </c>
      <c r="P27" s="109" t="s">
        <v>10</v>
      </c>
      <c r="Q27" s="110" t="s">
        <v>11</v>
      </c>
      <c r="R27" s="111" t="s">
        <v>12</v>
      </c>
      <c r="S27" s="109" t="s">
        <v>10</v>
      </c>
      <c r="T27" s="110" t="s">
        <v>11</v>
      </c>
      <c r="U27" s="111" t="s">
        <v>12</v>
      </c>
      <c r="V27" s="112" t="s">
        <v>13</v>
      </c>
      <c r="W27" s="93"/>
      <c r="X27" s="94"/>
      <c r="Y27" s="113" t="s">
        <v>69</v>
      </c>
      <c r="Z27" s="93"/>
      <c r="AA27" s="94"/>
      <c r="AB27" s="95"/>
      <c r="AC27" s="95"/>
      <c r="AD27" s="95"/>
      <c r="AE27" s="95"/>
      <c r="AF27" s="95"/>
      <c r="AG27" s="95"/>
      <c r="AH27" s="95"/>
      <c r="AI27" s="95"/>
      <c r="AJ27" s="95"/>
      <c r="AK27" s="95"/>
      <c r="AL27" s="95"/>
      <c r="AM27" s="95"/>
      <c r="AN27" s="95"/>
      <c r="AO27" s="95"/>
      <c r="AP27" s="95"/>
      <c r="AQ27" s="95"/>
      <c r="AR27" s="95"/>
      <c r="AS27" s="95"/>
    </row>
    <row r="28" ht="15.0" customHeight="1">
      <c r="A28" s="116" t="s">
        <v>70</v>
      </c>
      <c r="B28" s="117" t="s">
        <v>108</v>
      </c>
      <c r="C28" s="118" t="s">
        <v>15</v>
      </c>
      <c r="D28" s="119" t="s">
        <v>39</v>
      </c>
      <c r="E28" s="120"/>
      <c r="F28" s="119" t="s">
        <v>17</v>
      </c>
      <c r="G28" s="124"/>
      <c r="H28" s="125"/>
      <c r="I28" s="123">
        <f t="shared" ref="I28:I32" si="19">G28/(1.0278-(0.0278*H28))</f>
        <v>0</v>
      </c>
      <c r="J28" s="124"/>
      <c r="K28" s="125"/>
      <c r="L28" s="123">
        <f t="shared" ref="L28:L32" si="20">J28/(1.0278-(0.0278*K28))</f>
        <v>0</v>
      </c>
      <c r="M28" s="124"/>
      <c r="N28" s="125"/>
      <c r="O28" s="123">
        <f t="shared" ref="O28:O32" si="21">M28/(1.0278-(0.0278*N28))</f>
        <v>0</v>
      </c>
      <c r="P28" s="124"/>
      <c r="Q28" s="125"/>
      <c r="R28" s="123">
        <f t="shared" ref="R28:R32" si="22">P28/(1.0278-(0.0278*Q28))</f>
        <v>0</v>
      </c>
      <c r="S28" s="124"/>
      <c r="T28" s="125"/>
      <c r="U28" s="123">
        <f t="shared" ref="U28:U32" si="23">S28/(1.0278-(0.0278*T28))</f>
        <v>0</v>
      </c>
      <c r="V28" s="126">
        <f t="shared" ref="V28:V32" si="24">+G28*H28+J28*K28+M28*N28+P28*Q28+S28*T28</f>
        <v>0</v>
      </c>
      <c r="W28" s="12"/>
      <c r="X28" s="13"/>
      <c r="Y28" s="127"/>
      <c r="Z28" s="128"/>
      <c r="AA28" s="129"/>
      <c r="AB28" s="95"/>
      <c r="AC28" s="95"/>
      <c r="AD28" s="95"/>
      <c r="AE28" s="95"/>
      <c r="AF28" s="95"/>
      <c r="AG28" s="95"/>
      <c r="AH28" s="95"/>
      <c r="AI28" s="95"/>
      <c r="AJ28" s="95"/>
      <c r="AK28" s="95"/>
      <c r="AL28" s="95"/>
      <c r="AM28" s="95"/>
      <c r="AN28" s="95"/>
      <c r="AO28" s="95"/>
      <c r="AP28" s="95"/>
      <c r="AQ28" s="95"/>
      <c r="AR28" s="95"/>
      <c r="AS28" s="95"/>
    </row>
    <row r="29" ht="15.0" customHeight="1">
      <c r="A29" s="116" t="s">
        <v>72</v>
      </c>
      <c r="B29" s="117" t="s">
        <v>109</v>
      </c>
      <c r="C29" s="118" t="s">
        <v>15</v>
      </c>
      <c r="D29" s="119" t="s">
        <v>39</v>
      </c>
      <c r="E29" s="120"/>
      <c r="F29" s="119" t="s">
        <v>17</v>
      </c>
      <c r="G29" s="124"/>
      <c r="H29" s="125"/>
      <c r="I29" s="123">
        <f t="shared" si="19"/>
        <v>0</v>
      </c>
      <c r="J29" s="124"/>
      <c r="K29" s="125"/>
      <c r="L29" s="123">
        <f t="shared" si="20"/>
        <v>0</v>
      </c>
      <c r="M29" s="124"/>
      <c r="N29" s="125"/>
      <c r="O29" s="123">
        <f t="shared" si="21"/>
        <v>0</v>
      </c>
      <c r="P29" s="124"/>
      <c r="Q29" s="125"/>
      <c r="R29" s="123">
        <f t="shared" si="22"/>
        <v>0</v>
      </c>
      <c r="S29" s="124"/>
      <c r="T29" s="125"/>
      <c r="U29" s="123">
        <f t="shared" si="23"/>
        <v>0</v>
      </c>
      <c r="V29" s="126">
        <f t="shared" si="24"/>
        <v>0</v>
      </c>
      <c r="W29" s="12"/>
      <c r="X29" s="13"/>
      <c r="Y29" s="127"/>
      <c r="Z29" s="128"/>
      <c r="AA29" s="129"/>
      <c r="AB29" s="95"/>
      <c r="AC29" s="95"/>
      <c r="AD29" s="95"/>
      <c r="AE29" s="95"/>
      <c r="AF29" s="95"/>
      <c r="AG29" s="95"/>
      <c r="AH29" s="95"/>
      <c r="AI29" s="95"/>
      <c r="AJ29" s="95"/>
      <c r="AK29" s="95"/>
      <c r="AL29" s="95"/>
      <c r="AM29" s="95"/>
      <c r="AN29" s="95"/>
      <c r="AO29" s="95"/>
      <c r="AP29" s="95"/>
      <c r="AQ29" s="95"/>
      <c r="AR29" s="95"/>
      <c r="AS29" s="95"/>
    </row>
    <row r="30" ht="15.0" customHeight="1">
      <c r="A30" s="116" t="s">
        <v>74</v>
      </c>
      <c r="B30" s="117" t="s">
        <v>110</v>
      </c>
      <c r="C30" s="118" t="s">
        <v>15</v>
      </c>
      <c r="D30" s="119" t="s">
        <v>39</v>
      </c>
      <c r="E30" s="120"/>
      <c r="F30" s="119" t="s">
        <v>17</v>
      </c>
      <c r="G30" s="124"/>
      <c r="H30" s="125"/>
      <c r="I30" s="123">
        <f t="shared" si="19"/>
        <v>0</v>
      </c>
      <c r="J30" s="124"/>
      <c r="K30" s="125"/>
      <c r="L30" s="123">
        <f t="shared" si="20"/>
        <v>0</v>
      </c>
      <c r="M30" s="124"/>
      <c r="N30" s="125"/>
      <c r="O30" s="123">
        <f t="shared" si="21"/>
        <v>0</v>
      </c>
      <c r="P30" s="124"/>
      <c r="Q30" s="125"/>
      <c r="R30" s="123">
        <f t="shared" si="22"/>
        <v>0</v>
      </c>
      <c r="S30" s="124"/>
      <c r="T30" s="125"/>
      <c r="U30" s="123">
        <f t="shared" si="23"/>
        <v>0</v>
      </c>
      <c r="V30" s="126">
        <f t="shared" si="24"/>
        <v>0</v>
      </c>
      <c r="W30" s="12"/>
      <c r="X30" s="13"/>
      <c r="Y30" s="127"/>
      <c r="Z30" s="128"/>
      <c r="AA30" s="129"/>
      <c r="AB30" s="95"/>
      <c r="AC30" s="95"/>
      <c r="AD30" s="95"/>
      <c r="AE30" s="95"/>
      <c r="AF30" s="95"/>
      <c r="AG30" s="95"/>
      <c r="AH30" s="95"/>
      <c r="AI30" s="95"/>
      <c r="AJ30" s="95"/>
      <c r="AK30" s="95"/>
      <c r="AL30" s="95"/>
      <c r="AM30" s="95"/>
      <c r="AN30" s="95"/>
      <c r="AO30" s="95"/>
      <c r="AP30" s="95"/>
      <c r="AQ30" s="95"/>
      <c r="AR30" s="95"/>
      <c r="AS30" s="95"/>
    </row>
    <row r="31" ht="15.0" customHeight="1">
      <c r="A31" s="116" t="s">
        <v>77</v>
      </c>
      <c r="B31" s="117" t="s">
        <v>111</v>
      </c>
      <c r="C31" s="118" t="s">
        <v>15</v>
      </c>
      <c r="D31" s="119" t="s">
        <v>80</v>
      </c>
      <c r="E31" s="120"/>
      <c r="F31" s="119" t="s">
        <v>17</v>
      </c>
      <c r="G31" s="124"/>
      <c r="H31" s="125"/>
      <c r="I31" s="123">
        <f t="shared" si="19"/>
        <v>0</v>
      </c>
      <c r="J31" s="124"/>
      <c r="K31" s="125"/>
      <c r="L31" s="123">
        <f t="shared" si="20"/>
        <v>0</v>
      </c>
      <c r="M31" s="124"/>
      <c r="N31" s="125"/>
      <c r="O31" s="123">
        <f t="shared" si="21"/>
        <v>0</v>
      </c>
      <c r="P31" s="124"/>
      <c r="Q31" s="125"/>
      <c r="R31" s="123">
        <f t="shared" si="22"/>
        <v>0</v>
      </c>
      <c r="S31" s="124"/>
      <c r="T31" s="125"/>
      <c r="U31" s="123">
        <f t="shared" si="23"/>
        <v>0</v>
      </c>
      <c r="V31" s="126">
        <f t="shared" si="24"/>
        <v>0</v>
      </c>
      <c r="W31" s="12"/>
      <c r="X31" s="13"/>
      <c r="Y31" s="148"/>
      <c r="Z31" s="128"/>
      <c r="AA31" s="129"/>
      <c r="AB31" s="95"/>
      <c r="AC31" s="95"/>
      <c r="AD31" s="95"/>
      <c r="AE31" s="95"/>
      <c r="AF31" s="95"/>
      <c r="AG31" s="95"/>
      <c r="AH31" s="95"/>
      <c r="AI31" s="95"/>
      <c r="AJ31" s="95"/>
      <c r="AK31" s="95"/>
      <c r="AL31" s="95"/>
      <c r="AM31" s="95"/>
      <c r="AN31" s="95"/>
      <c r="AO31" s="95"/>
      <c r="AP31" s="95"/>
      <c r="AQ31" s="95"/>
      <c r="AR31" s="95"/>
      <c r="AS31" s="95"/>
    </row>
    <row r="32" ht="15.0" customHeight="1">
      <c r="A32" s="149"/>
      <c r="B32" s="117" t="s">
        <v>82</v>
      </c>
      <c r="C32" s="133"/>
      <c r="D32" s="120"/>
      <c r="E32" s="120"/>
      <c r="F32" s="119" t="s">
        <v>83</v>
      </c>
      <c r="G32" s="124"/>
      <c r="H32" s="125"/>
      <c r="I32" s="123">
        <f t="shared" si="19"/>
        <v>0</v>
      </c>
      <c r="J32" s="124"/>
      <c r="K32" s="125"/>
      <c r="L32" s="123">
        <f t="shared" si="20"/>
        <v>0</v>
      </c>
      <c r="M32" s="124"/>
      <c r="N32" s="125"/>
      <c r="O32" s="123">
        <f t="shared" si="21"/>
        <v>0</v>
      </c>
      <c r="P32" s="124"/>
      <c r="Q32" s="125"/>
      <c r="R32" s="123">
        <f t="shared" si="22"/>
        <v>0</v>
      </c>
      <c r="S32" s="124"/>
      <c r="T32" s="125"/>
      <c r="U32" s="123">
        <f t="shared" si="23"/>
        <v>0</v>
      </c>
      <c r="V32" s="126">
        <f t="shared" si="24"/>
        <v>0</v>
      </c>
      <c r="W32" s="12"/>
      <c r="X32" s="13"/>
      <c r="Y32" s="127"/>
      <c r="Z32" s="128"/>
      <c r="AA32" s="129"/>
      <c r="AB32" s="95"/>
      <c r="AC32" s="95"/>
      <c r="AD32" s="95"/>
      <c r="AE32" s="95"/>
      <c r="AF32" s="95"/>
      <c r="AG32" s="95"/>
      <c r="AH32" s="95"/>
      <c r="AI32" s="95"/>
      <c r="AJ32" s="95"/>
      <c r="AK32" s="95"/>
      <c r="AL32" s="95"/>
      <c r="AM32" s="95"/>
      <c r="AN32" s="95"/>
      <c r="AO32" s="95"/>
      <c r="AP32" s="95"/>
      <c r="AQ32" s="95"/>
      <c r="AR32" s="95"/>
      <c r="AS32" s="95"/>
    </row>
    <row r="33" ht="15.0" customHeight="1">
      <c r="A33" s="150" t="s">
        <v>68</v>
      </c>
      <c r="B33" s="151" t="s">
        <v>112</v>
      </c>
      <c r="C33" s="152" t="s">
        <v>6</v>
      </c>
      <c r="D33" s="152" t="s">
        <v>7</v>
      </c>
      <c r="E33" s="152" t="s">
        <v>8</v>
      </c>
      <c r="F33" s="152" t="s">
        <v>28</v>
      </c>
      <c r="G33" s="153" t="s">
        <v>10</v>
      </c>
      <c r="H33" s="153" t="s">
        <v>11</v>
      </c>
      <c r="I33" s="154" t="s">
        <v>12</v>
      </c>
      <c r="J33" s="153" t="s">
        <v>10</v>
      </c>
      <c r="K33" s="153" t="s">
        <v>11</v>
      </c>
      <c r="L33" s="154" t="s">
        <v>12</v>
      </c>
      <c r="M33" s="153" t="s">
        <v>10</v>
      </c>
      <c r="N33" s="153" t="s">
        <v>11</v>
      </c>
      <c r="O33" s="154" t="s">
        <v>12</v>
      </c>
      <c r="P33" s="153" t="s">
        <v>10</v>
      </c>
      <c r="Q33" s="153" t="s">
        <v>11</v>
      </c>
      <c r="R33" s="154" t="s">
        <v>12</v>
      </c>
      <c r="S33" s="153" t="s">
        <v>10</v>
      </c>
      <c r="T33" s="153" t="s">
        <v>11</v>
      </c>
      <c r="U33" s="154" t="s">
        <v>12</v>
      </c>
      <c r="V33" s="155" t="s">
        <v>13</v>
      </c>
      <c r="W33" s="93"/>
      <c r="X33" s="94"/>
      <c r="Y33" s="156" t="s">
        <v>69</v>
      </c>
      <c r="Z33" s="93"/>
      <c r="AA33" s="94"/>
      <c r="AB33" s="95"/>
      <c r="AC33" s="95"/>
      <c r="AD33" s="95"/>
      <c r="AE33" s="95"/>
      <c r="AF33" s="95"/>
      <c r="AG33" s="95"/>
      <c r="AH33" s="95"/>
      <c r="AI33" s="95"/>
      <c r="AJ33" s="95"/>
      <c r="AK33" s="95"/>
      <c r="AL33" s="95"/>
      <c r="AM33" s="95"/>
      <c r="AN33" s="95"/>
      <c r="AO33" s="95"/>
      <c r="AP33" s="95"/>
      <c r="AQ33" s="95"/>
      <c r="AR33" s="95"/>
      <c r="AS33" s="95"/>
    </row>
    <row r="34" ht="15.0" customHeight="1">
      <c r="A34" s="157" t="s">
        <v>90</v>
      </c>
      <c r="B34" s="158" t="s">
        <v>113</v>
      </c>
      <c r="C34" s="159"/>
      <c r="D34" s="159"/>
      <c r="E34" s="159"/>
      <c r="F34" s="160"/>
      <c r="G34" s="161"/>
      <c r="H34" s="161"/>
      <c r="I34" s="162"/>
      <c r="J34" s="161"/>
      <c r="K34" s="161"/>
      <c r="L34" s="162"/>
      <c r="M34" s="161"/>
      <c r="N34" s="161"/>
      <c r="O34" s="162"/>
      <c r="P34" s="161"/>
      <c r="Q34" s="161"/>
      <c r="R34" s="162"/>
      <c r="S34" s="161"/>
      <c r="T34" s="161"/>
      <c r="U34" s="162"/>
      <c r="V34" s="163"/>
      <c r="W34" s="163"/>
      <c r="X34" s="163"/>
      <c r="Y34" s="164"/>
      <c r="Z34" s="164"/>
      <c r="AA34" s="164"/>
      <c r="AB34" s="95"/>
      <c r="AC34" s="95"/>
      <c r="AD34" s="95"/>
      <c r="AE34" s="95"/>
      <c r="AF34" s="95"/>
      <c r="AG34" s="95"/>
      <c r="AH34" s="95"/>
      <c r="AI34" s="95"/>
      <c r="AJ34" s="95"/>
      <c r="AK34" s="95"/>
      <c r="AL34" s="95"/>
      <c r="AM34" s="95"/>
      <c r="AN34" s="95"/>
      <c r="AO34" s="95"/>
      <c r="AP34" s="95"/>
      <c r="AQ34" s="95"/>
      <c r="AR34" s="95"/>
      <c r="AS34" s="95"/>
    </row>
    <row r="35" ht="15.0" customHeight="1">
      <c r="A35" s="165"/>
      <c r="B35" s="166" t="s">
        <v>114</v>
      </c>
      <c r="C35" s="159"/>
      <c r="D35" s="159"/>
      <c r="E35" s="159"/>
      <c r="F35" s="160"/>
      <c r="G35" s="161"/>
      <c r="H35" s="161"/>
      <c r="I35" s="162"/>
      <c r="J35" s="161"/>
      <c r="K35" s="161"/>
      <c r="L35" s="162"/>
      <c r="M35" s="161"/>
      <c r="N35" s="161"/>
      <c r="O35" s="162"/>
      <c r="P35" s="161"/>
      <c r="Q35" s="161"/>
      <c r="R35" s="162"/>
      <c r="S35" s="161"/>
      <c r="T35" s="161"/>
      <c r="U35" s="162"/>
      <c r="V35" s="163"/>
      <c r="W35" s="163"/>
      <c r="X35" s="163"/>
      <c r="Y35" s="164"/>
      <c r="Z35" s="164"/>
      <c r="AA35" s="164"/>
      <c r="AB35" s="95"/>
      <c r="AC35" s="95"/>
      <c r="AD35" s="95"/>
      <c r="AE35" s="95"/>
      <c r="AF35" s="95"/>
      <c r="AG35" s="95"/>
      <c r="AH35" s="95"/>
      <c r="AI35" s="95"/>
      <c r="AJ35" s="95"/>
      <c r="AK35" s="95"/>
      <c r="AL35" s="95"/>
      <c r="AM35" s="95"/>
      <c r="AN35" s="95"/>
      <c r="AO35" s="95"/>
      <c r="AP35" s="95"/>
      <c r="AQ35" s="95"/>
      <c r="AR35" s="95"/>
      <c r="AS35" s="95"/>
    </row>
    <row r="36" ht="15.0" customHeight="1">
      <c r="A36" s="165"/>
      <c r="B36" s="166" t="s">
        <v>115</v>
      </c>
      <c r="C36" s="159"/>
      <c r="D36" s="159"/>
      <c r="E36" s="159"/>
      <c r="F36" s="160"/>
      <c r="G36" s="161"/>
      <c r="H36" s="161"/>
      <c r="I36" s="162"/>
      <c r="J36" s="161"/>
      <c r="K36" s="161"/>
      <c r="L36" s="162"/>
      <c r="M36" s="161"/>
      <c r="N36" s="161"/>
      <c r="O36" s="162"/>
      <c r="P36" s="161"/>
      <c r="Q36" s="161"/>
      <c r="R36" s="162"/>
      <c r="S36" s="161"/>
      <c r="T36" s="161"/>
      <c r="U36" s="162"/>
      <c r="V36" s="163"/>
      <c r="W36" s="163"/>
      <c r="X36" s="163"/>
      <c r="Y36" s="164"/>
      <c r="Z36" s="164"/>
      <c r="AA36" s="164"/>
      <c r="AB36" s="95"/>
      <c r="AC36" s="95"/>
      <c r="AD36" s="95"/>
      <c r="AE36" s="95"/>
      <c r="AF36" s="95"/>
      <c r="AG36" s="95"/>
      <c r="AH36" s="95"/>
      <c r="AI36" s="95"/>
      <c r="AJ36" s="95"/>
      <c r="AK36" s="95"/>
      <c r="AL36" s="95"/>
      <c r="AM36" s="95"/>
      <c r="AN36" s="95"/>
      <c r="AO36" s="95"/>
      <c r="AP36" s="95"/>
      <c r="AQ36" s="95"/>
      <c r="AR36" s="95"/>
      <c r="AS36" s="95"/>
    </row>
    <row r="37" ht="15.0" customHeight="1">
      <c r="A37" s="165"/>
      <c r="B37" s="166" t="s">
        <v>116</v>
      </c>
      <c r="C37" s="159"/>
      <c r="D37" s="159"/>
      <c r="E37" s="159"/>
      <c r="F37" s="160"/>
      <c r="G37" s="161"/>
      <c r="H37" s="161"/>
      <c r="I37" s="162"/>
      <c r="J37" s="161"/>
      <c r="K37" s="161"/>
      <c r="L37" s="162"/>
      <c r="M37" s="161"/>
      <c r="N37" s="161"/>
      <c r="O37" s="162"/>
      <c r="P37" s="161"/>
      <c r="Q37" s="161"/>
      <c r="R37" s="162"/>
      <c r="S37" s="161"/>
      <c r="T37" s="161"/>
      <c r="U37" s="162"/>
      <c r="V37" s="163"/>
      <c r="W37" s="163"/>
      <c r="X37" s="163"/>
      <c r="Y37" s="164"/>
      <c r="Z37" s="164"/>
      <c r="AA37" s="164"/>
      <c r="AB37" s="95"/>
      <c r="AC37" s="95"/>
      <c r="AD37" s="95"/>
      <c r="AE37" s="95"/>
      <c r="AF37" s="95"/>
      <c r="AG37" s="95"/>
      <c r="AH37" s="95"/>
      <c r="AI37" s="95"/>
      <c r="AJ37" s="95"/>
      <c r="AK37" s="95"/>
      <c r="AL37" s="95"/>
      <c r="AM37" s="95"/>
      <c r="AN37" s="95"/>
      <c r="AO37" s="95"/>
      <c r="AP37" s="95"/>
      <c r="AQ37" s="95"/>
      <c r="AR37" s="95"/>
      <c r="AS37" s="95"/>
    </row>
    <row r="38" ht="15.0" customHeight="1">
      <c r="A38" s="165"/>
      <c r="B38" s="166" t="s">
        <v>117</v>
      </c>
      <c r="C38" s="159"/>
      <c r="D38" s="159"/>
      <c r="E38" s="159"/>
      <c r="F38" s="160"/>
      <c r="G38" s="161"/>
      <c r="H38" s="161"/>
      <c r="I38" s="162"/>
      <c r="J38" s="161"/>
      <c r="K38" s="161"/>
      <c r="L38" s="162"/>
      <c r="M38" s="161"/>
      <c r="N38" s="161"/>
      <c r="O38" s="162"/>
      <c r="P38" s="161"/>
      <c r="Q38" s="161"/>
      <c r="R38" s="162"/>
      <c r="S38" s="161"/>
      <c r="T38" s="161"/>
      <c r="U38" s="162"/>
      <c r="V38" s="163"/>
      <c r="W38" s="163"/>
      <c r="X38" s="163"/>
      <c r="Y38" s="164"/>
      <c r="Z38" s="164"/>
      <c r="AA38" s="164"/>
      <c r="AB38" s="95"/>
      <c r="AC38" s="95"/>
      <c r="AD38" s="95"/>
      <c r="AE38" s="95"/>
      <c r="AF38" s="95"/>
      <c r="AG38" s="95"/>
      <c r="AH38" s="95"/>
      <c r="AI38" s="95"/>
      <c r="AJ38" s="95"/>
      <c r="AK38" s="95"/>
      <c r="AL38" s="95"/>
      <c r="AM38" s="95"/>
      <c r="AN38" s="95"/>
      <c r="AO38" s="95"/>
      <c r="AP38" s="95"/>
      <c r="AQ38" s="95"/>
      <c r="AR38" s="95"/>
      <c r="AS38" s="95"/>
    </row>
    <row r="39" ht="15.0" customHeight="1">
      <c r="A39" s="165"/>
      <c r="B39" s="166" t="s">
        <v>118</v>
      </c>
      <c r="C39" s="159"/>
      <c r="D39" s="159"/>
      <c r="E39" s="159"/>
      <c r="F39" s="160"/>
      <c r="G39" s="161"/>
      <c r="H39" s="161"/>
      <c r="I39" s="162"/>
      <c r="J39" s="161"/>
      <c r="K39" s="161"/>
      <c r="L39" s="162"/>
      <c r="M39" s="161"/>
      <c r="N39" s="161"/>
      <c r="O39" s="162"/>
      <c r="P39" s="161"/>
      <c r="Q39" s="161"/>
      <c r="R39" s="162"/>
      <c r="S39" s="161"/>
      <c r="T39" s="161"/>
      <c r="U39" s="162"/>
      <c r="V39" s="163"/>
      <c r="W39" s="163"/>
      <c r="X39" s="163"/>
      <c r="Y39" s="164"/>
      <c r="Z39" s="164"/>
      <c r="AA39" s="164"/>
      <c r="AB39" s="95"/>
      <c r="AC39" s="95"/>
      <c r="AD39" s="95"/>
      <c r="AE39" s="95"/>
      <c r="AF39" s="95"/>
      <c r="AG39" s="95"/>
      <c r="AH39" s="95"/>
      <c r="AI39" s="95"/>
      <c r="AJ39" s="95"/>
      <c r="AK39" s="95"/>
      <c r="AL39" s="95"/>
      <c r="AM39" s="95"/>
      <c r="AN39" s="95"/>
      <c r="AO39" s="95"/>
      <c r="AP39" s="95"/>
      <c r="AQ39" s="95"/>
      <c r="AR39" s="95"/>
      <c r="AS39" s="95"/>
    </row>
    <row r="40" ht="15.0" customHeight="1">
      <c r="A40" s="167"/>
      <c r="B40" s="166" t="s">
        <v>119</v>
      </c>
      <c r="C40" s="159"/>
      <c r="D40" s="159"/>
      <c r="E40" s="159"/>
      <c r="F40" s="160"/>
      <c r="G40" s="168"/>
      <c r="H40" s="168"/>
      <c r="I40" s="169">
        <f>G40/(1.0278-(0.0278*H40))</f>
        <v>0</v>
      </c>
      <c r="J40" s="168"/>
      <c r="K40" s="168"/>
      <c r="L40" s="169">
        <f>J40/(1.0278-(0.0278*K40))</f>
        <v>0</v>
      </c>
      <c r="M40" s="168"/>
      <c r="N40" s="168"/>
      <c r="O40" s="169">
        <f>M40/(1.0278-(0.0278*N40))</f>
        <v>0</v>
      </c>
      <c r="P40" s="168"/>
      <c r="Q40" s="168"/>
      <c r="R40" s="169">
        <f>P40/(1.0278-(0.0278*Q40))</f>
        <v>0</v>
      </c>
      <c r="S40" s="168"/>
      <c r="T40" s="168"/>
      <c r="U40" s="169">
        <f>S40/(1.0278-(0.0278*T40))</f>
        <v>0</v>
      </c>
      <c r="V40" s="170" t="str">
        <f>+I40*J40+L40*M40+O40*P40+R40*S40+U40*V40</f>
        <v>#REF!</v>
      </c>
      <c r="W40" s="97"/>
      <c r="X40" s="98"/>
      <c r="Y40" s="171"/>
      <c r="Z40" s="172"/>
      <c r="AA40" s="173"/>
      <c r="AB40" s="95"/>
      <c r="AC40" s="95"/>
      <c r="AD40" s="95"/>
      <c r="AE40" s="95"/>
      <c r="AF40" s="95"/>
      <c r="AG40" s="95"/>
      <c r="AH40" s="95"/>
      <c r="AI40" s="95"/>
      <c r="AJ40" s="95"/>
      <c r="AK40" s="95"/>
      <c r="AL40" s="95"/>
      <c r="AM40" s="95"/>
      <c r="AN40" s="95"/>
      <c r="AO40" s="95"/>
      <c r="AP40" s="95"/>
      <c r="AQ40" s="95"/>
      <c r="AR40" s="95"/>
      <c r="AS40" s="95"/>
    </row>
    <row r="41" ht="15.0" customHeight="1">
      <c r="A41" s="91" t="s">
        <v>120</v>
      </c>
      <c r="B41" s="70"/>
      <c r="C41" s="70"/>
      <c r="D41" s="70"/>
      <c r="E41" s="70"/>
      <c r="F41" s="71"/>
      <c r="G41" s="92" t="s">
        <v>121</v>
      </c>
      <c r="H41" s="93"/>
      <c r="I41" s="93"/>
      <c r="J41" s="93"/>
      <c r="K41" s="93"/>
      <c r="L41" s="93"/>
      <c r="M41" s="93"/>
      <c r="N41" s="93"/>
      <c r="O41" s="93"/>
      <c r="P41" s="93"/>
      <c r="Q41" s="93"/>
      <c r="R41" s="93"/>
      <c r="S41" s="93"/>
      <c r="T41" s="93"/>
      <c r="U41" s="93"/>
      <c r="V41" s="93"/>
      <c r="W41" s="93"/>
      <c r="X41" s="93"/>
      <c r="Y41" s="93"/>
      <c r="Z41" s="93"/>
      <c r="AA41" s="94"/>
      <c r="AB41" s="95"/>
      <c r="AC41" s="95"/>
      <c r="AD41" s="95"/>
      <c r="AE41" s="95"/>
      <c r="AF41" s="95"/>
      <c r="AG41" s="95"/>
      <c r="AH41" s="95"/>
      <c r="AI41" s="95"/>
      <c r="AJ41" s="95"/>
      <c r="AK41" s="95"/>
      <c r="AL41" s="95"/>
      <c r="AM41" s="95"/>
      <c r="AN41" s="95"/>
      <c r="AO41" s="95"/>
      <c r="AP41" s="95"/>
      <c r="AQ41" s="95"/>
      <c r="AR41" s="95"/>
      <c r="AS41" s="95"/>
    </row>
    <row r="42" ht="15.0" customHeight="1">
      <c r="A42" s="96"/>
      <c r="B42" s="97"/>
      <c r="C42" s="97"/>
      <c r="D42" s="97"/>
      <c r="E42" s="97"/>
      <c r="F42" s="98"/>
      <c r="G42" s="99" t="s">
        <v>1</v>
      </c>
      <c r="H42" s="12"/>
      <c r="I42" s="13"/>
      <c r="J42" s="100" t="s">
        <v>2</v>
      </c>
      <c r="K42" s="12"/>
      <c r="L42" s="13"/>
      <c r="M42" s="100" t="s">
        <v>3</v>
      </c>
      <c r="N42" s="12"/>
      <c r="O42" s="13"/>
      <c r="P42" s="100" t="s">
        <v>66</v>
      </c>
      <c r="Q42" s="12"/>
      <c r="R42" s="13"/>
      <c r="S42" s="101" t="s">
        <v>67</v>
      </c>
      <c r="T42" s="93"/>
      <c r="U42" s="94"/>
      <c r="V42" s="100" t="s">
        <v>4</v>
      </c>
      <c r="W42" s="12"/>
      <c r="X42" s="13"/>
      <c r="Y42" s="102"/>
      <c r="Z42" s="102"/>
      <c r="AA42" s="14"/>
      <c r="AB42" s="95"/>
      <c r="AC42" s="95"/>
      <c r="AD42" s="95"/>
      <c r="AE42" s="95"/>
      <c r="AF42" s="95"/>
      <c r="AG42" s="95"/>
      <c r="AH42" s="95"/>
      <c r="AI42" s="95"/>
      <c r="AJ42" s="95"/>
      <c r="AK42" s="95"/>
      <c r="AL42" s="95"/>
      <c r="AM42" s="95"/>
      <c r="AN42" s="95"/>
      <c r="AO42" s="95"/>
      <c r="AP42" s="95"/>
      <c r="AQ42" s="95"/>
      <c r="AR42" s="95"/>
      <c r="AS42" s="95"/>
    </row>
    <row r="43" ht="15.0" customHeight="1">
      <c r="A43" s="106" t="s">
        <v>68</v>
      </c>
      <c r="B43" s="107" t="s">
        <v>5</v>
      </c>
      <c r="C43" s="108" t="s">
        <v>6</v>
      </c>
      <c r="D43" s="108" t="s">
        <v>7</v>
      </c>
      <c r="E43" s="108" t="s">
        <v>8</v>
      </c>
      <c r="F43" s="108" t="s">
        <v>28</v>
      </c>
      <c r="G43" s="109" t="s">
        <v>10</v>
      </c>
      <c r="H43" s="110" t="s">
        <v>11</v>
      </c>
      <c r="I43" s="111" t="s">
        <v>12</v>
      </c>
      <c r="J43" s="109" t="s">
        <v>10</v>
      </c>
      <c r="K43" s="110" t="s">
        <v>11</v>
      </c>
      <c r="L43" s="111" t="s">
        <v>12</v>
      </c>
      <c r="M43" s="109" t="s">
        <v>10</v>
      </c>
      <c r="N43" s="110" t="s">
        <v>11</v>
      </c>
      <c r="O43" s="111" t="s">
        <v>12</v>
      </c>
      <c r="P43" s="109" t="s">
        <v>10</v>
      </c>
      <c r="Q43" s="110" t="s">
        <v>11</v>
      </c>
      <c r="R43" s="111" t="s">
        <v>12</v>
      </c>
      <c r="S43" s="109" t="s">
        <v>10</v>
      </c>
      <c r="T43" s="110" t="s">
        <v>11</v>
      </c>
      <c r="U43" s="111" t="s">
        <v>12</v>
      </c>
      <c r="V43" s="112" t="s">
        <v>13</v>
      </c>
      <c r="W43" s="93"/>
      <c r="X43" s="94"/>
      <c r="Y43" s="113" t="s">
        <v>69</v>
      </c>
      <c r="Z43" s="93"/>
      <c r="AA43" s="94"/>
      <c r="AB43" s="95"/>
      <c r="AC43" s="95"/>
      <c r="AD43" s="95"/>
      <c r="AE43" s="95"/>
      <c r="AF43" s="95"/>
      <c r="AG43" s="95"/>
      <c r="AH43" s="95"/>
      <c r="AI43" s="95"/>
      <c r="AJ43" s="95"/>
      <c r="AK43" s="95"/>
      <c r="AL43" s="95"/>
      <c r="AM43" s="95"/>
      <c r="AN43" s="95"/>
      <c r="AO43" s="95"/>
      <c r="AP43" s="95"/>
      <c r="AQ43" s="95"/>
      <c r="AR43" s="95"/>
      <c r="AS43" s="95"/>
    </row>
    <row r="44" ht="15.0" customHeight="1">
      <c r="A44" s="116" t="s">
        <v>70</v>
      </c>
      <c r="B44" s="117" t="s">
        <v>122</v>
      </c>
      <c r="C44" s="118" t="s">
        <v>123</v>
      </c>
      <c r="D44" s="119" t="s">
        <v>124</v>
      </c>
      <c r="E44" s="120"/>
      <c r="F44" s="119" t="s">
        <v>81</v>
      </c>
      <c r="G44" s="124"/>
      <c r="H44" s="125"/>
      <c r="I44" s="123">
        <f t="shared" ref="I44:I47" si="25">G44/(1.0278-(0.0278*H44))</f>
        <v>0</v>
      </c>
      <c r="J44" s="124"/>
      <c r="K44" s="125"/>
      <c r="L44" s="123">
        <f t="shared" ref="L44:L47" si="26">J44/(1.0278-(0.0278*K44))</f>
        <v>0</v>
      </c>
      <c r="M44" s="124"/>
      <c r="N44" s="125"/>
      <c r="O44" s="123">
        <f t="shared" ref="O44:O47" si="27">M44/(1.0278-(0.0278*N44))</f>
        <v>0</v>
      </c>
      <c r="P44" s="124"/>
      <c r="Q44" s="125"/>
      <c r="R44" s="123">
        <f t="shared" ref="R44:R47" si="28">P44/(1.0278-(0.0278*Q44))</f>
        <v>0</v>
      </c>
      <c r="S44" s="124"/>
      <c r="T44" s="125"/>
      <c r="U44" s="123">
        <f t="shared" ref="U44:U47" si="29">S44/(1.0278-(0.0278*T44))</f>
        <v>0</v>
      </c>
      <c r="V44" s="126">
        <f t="shared" ref="V44:V47" si="30">+G44*H44+J44*K44+M44*N44+P44*Q44+S44*T44</f>
        <v>0</v>
      </c>
      <c r="W44" s="12"/>
      <c r="X44" s="13"/>
      <c r="Y44" s="127"/>
      <c r="Z44" s="128"/>
      <c r="AA44" s="129"/>
      <c r="AB44" s="95"/>
      <c r="AC44" s="95"/>
      <c r="AD44" s="95"/>
      <c r="AE44" s="95"/>
      <c r="AF44" s="95"/>
      <c r="AG44" s="95"/>
      <c r="AH44" s="95"/>
      <c r="AI44" s="95"/>
      <c r="AJ44" s="95"/>
      <c r="AK44" s="95"/>
      <c r="AL44" s="95"/>
      <c r="AM44" s="95"/>
      <c r="AN44" s="95"/>
      <c r="AO44" s="95"/>
      <c r="AP44" s="95"/>
      <c r="AQ44" s="95"/>
      <c r="AR44" s="95"/>
      <c r="AS44" s="95"/>
    </row>
    <row r="45" ht="15.0" customHeight="1">
      <c r="A45" s="116" t="s">
        <v>72</v>
      </c>
      <c r="B45" s="117" t="s">
        <v>125</v>
      </c>
      <c r="C45" s="118" t="s">
        <v>123</v>
      </c>
      <c r="D45" s="119" t="s">
        <v>124</v>
      </c>
      <c r="E45" s="120"/>
      <c r="F45" s="119" t="s">
        <v>81</v>
      </c>
      <c r="G45" s="124"/>
      <c r="H45" s="125"/>
      <c r="I45" s="123">
        <f t="shared" si="25"/>
        <v>0</v>
      </c>
      <c r="J45" s="124"/>
      <c r="K45" s="125"/>
      <c r="L45" s="123">
        <f t="shared" si="26"/>
        <v>0</v>
      </c>
      <c r="M45" s="124"/>
      <c r="N45" s="125"/>
      <c r="O45" s="123">
        <f t="shared" si="27"/>
        <v>0</v>
      </c>
      <c r="P45" s="124"/>
      <c r="Q45" s="125"/>
      <c r="R45" s="123">
        <f t="shared" si="28"/>
        <v>0</v>
      </c>
      <c r="S45" s="124"/>
      <c r="T45" s="125"/>
      <c r="U45" s="123">
        <f t="shared" si="29"/>
        <v>0</v>
      </c>
      <c r="V45" s="126">
        <f t="shared" si="30"/>
        <v>0</v>
      </c>
      <c r="W45" s="12"/>
      <c r="X45" s="13"/>
      <c r="Y45" s="127"/>
      <c r="Z45" s="128"/>
      <c r="AA45" s="129"/>
      <c r="AB45" s="95"/>
      <c r="AC45" s="95"/>
      <c r="AD45" s="95"/>
      <c r="AE45" s="95"/>
      <c r="AF45" s="95"/>
      <c r="AG45" s="95"/>
      <c r="AH45" s="95"/>
      <c r="AI45" s="95"/>
      <c r="AJ45" s="95"/>
      <c r="AK45" s="95"/>
      <c r="AL45" s="95"/>
      <c r="AM45" s="95"/>
      <c r="AN45" s="95"/>
      <c r="AO45" s="95"/>
      <c r="AP45" s="95"/>
      <c r="AQ45" s="95"/>
      <c r="AR45" s="95"/>
      <c r="AS45" s="95"/>
    </row>
    <row r="46" ht="15.0" customHeight="1">
      <c r="A46" s="116" t="s">
        <v>74</v>
      </c>
      <c r="B46" s="117" t="s">
        <v>126</v>
      </c>
      <c r="C46" s="118" t="s">
        <v>15</v>
      </c>
      <c r="D46" s="119" t="s">
        <v>39</v>
      </c>
      <c r="E46" s="120"/>
      <c r="F46" s="119" t="s">
        <v>17</v>
      </c>
      <c r="G46" s="124"/>
      <c r="H46" s="125"/>
      <c r="I46" s="123">
        <f t="shared" si="25"/>
        <v>0</v>
      </c>
      <c r="J46" s="124"/>
      <c r="K46" s="125"/>
      <c r="L46" s="123">
        <f t="shared" si="26"/>
        <v>0</v>
      </c>
      <c r="M46" s="124"/>
      <c r="N46" s="125"/>
      <c r="O46" s="123">
        <f t="shared" si="27"/>
        <v>0</v>
      </c>
      <c r="P46" s="124"/>
      <c r="Q46" s="125"/>
      <c r="R46" s="123">
        <f t="shared" si="28"/>
        <v>0</v>
      </c>
      <c r="S46" s="124"/>
      <c r="T46" s="125"/>
      <c r="U46" s="123">
        <f t="shared" si="29"/>
        <v>0</v>
      </c>
      <c r="V46" s="126">
        <f t="shared" si="30"/>
        <v>0</v>
      </c>
      <c r="W46" s="12"/>
      <c r="X46" s="13"/>
      <c r="Y46" s="127"/>
      <c r="Z46" s="128"/>
      <c r="AA46" s="129"/>
      <c r="AB46" s="95"/>
      <c r="AC46" s="95"/>
      <c r="AD46" s="95"/>
      <c r="AE46" s="95"/>
      <c r="AF46" s="95"/>
      <c r="AG46" s="95"/>
      <c r="AH46" s="95"/>
      <c r="AI46" s="95"/>
      <c r="AJ46" s="95"/>
      <c r="AK46" s="95"/>
      <c r="AL46" s="95"/>
      <c r="AM46" s="95"/>
      <c r="AN46" s="95"/>
      <c r="AO46" s="95"/>
      <c r="AP46" s="95"/>
      <c r="AQ46" s="95"/>
      <c r="AR46" s="95"/>
      <c r="AS46" s="95"/>
    </row>
    <row r="47" ht="15.0" customHeight="1">
      <c r="A47" s="116" t="s">
        <v>77</v>
      </c>
      <c r="B47" s="117" t="s">
        <v>127</v>
      </c>
      <c r="C47" s="118" t="s">
        <v>15</v>
      </c>
      <c r="D47" s="119" t="s">
        <v>39</v>
      </c>
      <c r="E47" s="120"/>
      <c r="F47" s="119" t="s">
        <v>17</v>
      </c>
      <c r="G47" s="124"/>
      <c r="H47" s="125"/>
      <c r="I47" s="123">
        <f t="shared" si="25"/>
        <v>0</v>
      </c>
      <c r="J47" s="124"/>
      <c r="K47" s="125"/>
      <c r="L47" s="123">
        <f t="shared" si="26"/>
        <v>0</v>
      </c>
      <c r="M47" s="124"/>
      <c r="N47" s="125"/>
      <c r="O47" s="123">
        <f t="shared" si="27"/>
        <v>0</v>
      </c>
      <c r="P47" s="124"/>
      <c r="Q47" s="125"/>
      <c r="R47" s="123">
        <f t="shared" si="28"/>
        <v>0</v>
      </c>
      <c r="S47" s="124"/>
      <c r="T47" s="125"/>
      <c r="U47" s="123">
        <f t="shared" si="29"/>
        <v>0</v>
      </c>
      <c r="V47" s="126">
        <f t="shared" si="30"/>
        <v>0</v>
      </c>
      <c r="W47" s="12"/>
      <c r="X47" s="13"/>
      <c r="Y47" s="127"/>
      <c r="Z47" s="128"/>
      <c r="AA47" s="129"/>
      <c r="AB47" s="95"/>
      <c r="AC47" s="95"/>
      <c r="AD47" s="95"/>
      <c r="AE47" s="95"/>
      <c r="AF47" s="95"/>
      <c r="AG47" s="95"/>
      <c r="AH47" s="95"/>
      <c r="AI47" s="95"/>
      <c r="AJ47" s="95"/>
      <c r="AK47" s="95"/>
      <c r="AL47" s="95"/>
      <c r="AM47" s="95"/>
      <c r="AN47" s="95"/>
      <c r="AO47" s="95"/>
      <c r="AP47" s="95"/>
      <c r="AQ47" s="95"/>
      <c r="AR47" s="95"/>
      <c r="AS47" s="95"/>
    </row>
    <row r="48" ht="15.0" customHeight="1">
      <c r="A48" s="130"/>
      <c r="B48" s="117" t="s">
        <v>128</v>
      </c>
      <c r="C48" s="118" t="s">
        <v>15</v>
      </c>
      <c r="D48" s="119" t="s">
        <v>39</v>
      </c>
      <c r="E48" s="120"/>
      <c r="F48" s="119" t="s">
        <v>17</v>
      </c>
      <c r="G48" s="124"/>
      <c r="H48" s="125"/>
      <c r="I48" s="123"/>
      <c r="J48" s="124"/>
      <c r="K48" s="125"/>
      <c r="L48" s="123"/>
      <c r="M48" s="124"/>
      <c r="N48" s="125"/>
      <c r="O48" s="123"/>
      <c r="P48" s="124"/>
      <c r="Q48" s="125"/>
      <c r="R48" s="123"/>
      <c r="S48" s="124"/>
      <c r="T48" s="125"/>
      <c r="U48" s="123"/>
      <c r="V48" s="131"/>
      <c r="W48" s="131"/>
      <c r="X48" s="131"/>
      <c r="Y48" s="132"/>
      <c r="Z48" s="132"/>
      <c r="AA48" s="132"/>
      <c r="AB48" s="95"/>
      <c r="AC48" s="95"/>
      <c r="AD48" s="95"/>
      <c r="AE48" s="95"/>
      <c r="AF48" s="95"/>
      <c r="AG48" s="95"/>
      <c r="AH48" s="95"/>
      <c r="AI48" s="95"/>
      <c r="AJ48" s="95"/>
      <c r="AK48" s="95"/>
      <c r="AL48" s="95"/>
      <c r="AM48" s="95"/>
      <c r="AN48" s="95"/>
      <c r="AO48" s="95"/>
      <c r="AP48" s="95"/>
      <c r="AQ48" s="95"/>
      <c r="AR48" s="95"/>
      <c r="AS48" s="95"/>
    </row>
    <row r="49" ht="15.0" customHeight="1">
      <c r="A49" s="130"/>
      <c r="B49" s="117" t="s">
        <v>129</v>
      </c>
      <c r="C49" s="118" t="s">
        <v>15</v>
      </c>
      <c r="D49" s="119" t="s">
        <v>39</v>
      </c>
      <c r="E49" s="120"/>
      <c r="F49" s="119" t="s">
        <v>17</v>
      </c>
      <c r="G49" s="124"/>
      <c r="H49" s="125"/>
      <c r="I49" s="123"/>
      <c r="J49" s="124"/>
      <c r="K49" s="125"/>
      <c r="L49" s="123"/>
      <c r="M49" s="124"/>
      <c r="N49" s="125"/>
      <c r="O49" s="123"/>
      <c r="P49" s="124"/>
      <c r="Q49" s="125"/>
      <c r="R49" s="123"/>
      <c r="S49" s="124"/>
      <c r="T49" s="125"/>
      <c r="U49" s="123"/>
      <c r="V49" s="131"/>
      <c r="W49" s="131"/>
      <c r="X49" s="131"/>
      <c r="Y49" s="132"/>
      <c r="Z49" s="132"/>
      <c r="AA49" s="132"/>
      <c r="AB49" s="95"/>
      <c r="AC49" s="95"/>
      <c r="AD49" s="95"/>
      <c r="AE49" s="95"/>
      <c r="AF49" s="95"/>
      <c r="AG49" s="95"/>
      <c r="AH49" s="95"/>
      <c r="AI49" s="95"/>
      <c r="AJ49" s="95"/>
      <c r="AK49" s="95"/>
      <c r="AL49" s="95"/>
      <c r="AM49" s="95"/>
      <c r="AN49" s="95"/>
      <c r="AO49" s="95"/>
      <c r="AP49" s="95"/>
      <c r="AQ49" s="95"/>
      <c r="AR49" s="95"/>
      <c r="AS49" s="95"/>
    </row>
    <row r="50" ht="15.0" customHeight="1">
      <c r="A50" s="130"/>
      <c r="B50" s="117" t="s">
        <v>130</v>
      </c>
      <c r="C50" s="118" t="s">
        <v>15</v>
      </c>
      <c r="D50" s="119" t="s">
        <v>131</v>
      </c>
      <c r="E50" s="120"/>
      <c r="F50" s="119" t="s">
        <v>17</v>
      </c>
      <c r="G50" s="124"/>
      <c r="H50" s="125"/>
      <c r="I50" s="123"/>
      <c r="J50" s="124"/>
      <c r="K50" s="125"/>
      <c r="L50" s="123"/>
      <c r="M50" s="124"/>
      <c r="N50" s="125"/>
      <c r="O50" s="123"/>
      <c r="P50" s="124"/>
      <c r="Q50" s="125"/>
      <c r="R50" s="123"/>
      <c r="S50" s="124"/>
      <c r="T50" s="125"/>
      <c r="U50" s="123"/>
      <c r="V50" s="131"/>
      <c r="W50" s="131"/>
      <c r="X50" s="131"/>
      <c r="Y50" s="132"/>
      <c r="Z50" s="132"/>
      <c r="AA50" s="132"/>
      <c r="AB50" s="95"/>
      <c r="AC50" s="95"/>
      <c r="AD50" s="95"/>
      <c r="AE50" s="95"/>
      <c r="AF50" s="95"/>
      <c r="AG50" s="95"/>
      <c r="AH50" s="95"/>
      <c r="AI50" s="95"/>
      <c r="AJ50" s="95"/>
      <c r="AK50" s="95"/>
      <c r="AL50" s="95"/>
      <c r="AM50" s="95"/>
      <c r="AN50" s="95"/>
      <c r="AO50" s="95"/>
      <c r="AP50" s="95"/>
      <c r="AQ50" s="95"/>
      <c r="AR50" s="95"/>
      <c r="AS50" s="95"/>
    </row>
    <row r="51" ht="15.0" customHeight="1">
      <c r="A51" s="130"/>
      <c r="B51" s="117" t="s">
        <v>82</v>
      </c>
      <c r="C51" s="133"/>
      <c r="D51" s="120"/>
      <c r="E51" s="120"/>
      <c r="F51" s="119" t="s">
        <v>83</v>
      </c>
      <c r="G51" s="124"/>
      <c r="H51" s="125"/>
      <c r="I51" s="123">
        <f>G51/(1.0278-(0.0278*H51))</f>
        <v>0</v>
      </c>
      <c r="J51" s="124"/>
      <c r="K51" s="125"/>
      <c r="L51" s="123">
        <f>J51/(1.0278-(0.0278*K51))</f>
        <v>0</v>
      </c>
      <c r="M51" s="124"/>
      <c r="N51" s="125"/>
      <c r="O51" s="123">
        <f>M51/(1.0278-(0.0278*N51))</f>
        <v>0</v>
      </c>
      <c r="P51" s="124"/>
      <c r="Q51" s="125"/>
      <c r="R51" s="123">
        <f>P51/(1.0278-(0.0278*Q51))</f>
        <v>0</v>
      </c>
      <c r="S51" s="124"/>
      <c r="T51" s="125"/>
      <c r="U51" s="123">
        <f>S51/(1.0278-(0.0278*T51))</f>
        <v>0</v>
      </c>
      <c r="V51" s="126">
        <f>+G51*H51+J51*K51+M51*N51+P51*Q51+S51*T51</f>
        <v>0</v>
      </c>
      <c r="W51" s="12"/>
      <c r="X51" s="13"/>
      <c r="Y51" s="127"/>
      <c r="Z51" s="128"/>
      <c r="AA51" s="129"/>
      <c r="AB51" s="95"/>
      <c r="AC51" s="95"/>
      <c r="AD51" s="95"/>
      <c r="AE51" s="95"/>
      <c r="AF51" s="95"/>
      <c r="AG51" s="95"/>
      <c r="AH51" s="95"/>
      <c r="AI51" s="95"/>
      <c r="AJ51" s="95"/>
      <c r="AK51" s="95"/>
      <c r="AL51" s="95"/>
      <c r="AM51" s="95"/>
      <c r="AN51" s="95"/>
      <c r="AO51" s="95"/>
      <c r="AP51" s="95"/>
      <c r="AQ51" s="95"/>
      <c r="AR51" s="95"/>
      <c r="AS51" s="95"/>
    </row>
    <row r="52" ht="15.0" customHeight="1">
      <c r="A52" s="106" t="s">
        <v>68</v>
      </c>
      <c r="B52" s="135" t="s">
        <v>27</v>
      </c>
      <c r="C52" s="108" t="s">
        <v>6</v>
      </c>
      <c r="D52" s="108" t="s">
        <v>7</v>
      </c>
      <c r="E52" s="108" t="s">
        <v>8</v>
      </c>
      <c r="F52" s="108" t="s">
        <v>28</v>
      </c>
      <c r="G52" s="109" t="s">
        <v>10</v>
      </c>
      <c r="H52" s="110" t="s">
        <v>11</v>
      </c>
      <c r="I52" s="111" t="s">
        <v>12</v>
      </c>
      <c r="J52" s="109" t="s">
        <v>10</v>
      </c>
      <c r="K52" s="110" t="s">
        <v>11</v>
      </c>
      <c r="L52" s="111" t="s">
        <v>12</v>
      </c>
      <c r="M52" s="109" t="s">
        <v>10</v>
      </c>
      <c r="N52" s="110" t="s">
        <v>11</v>
      </c>
      <c r="O52" s="111" t="s">
        <v>12</v>
      </c>
      <c r="P52" s="109" t="s">
        <v>10</v>
      </c>
      <c r="Q52" s="110" t="s">
        <v>11</v>
      </c>
      <c r="R52" s="111" t="s">
        <v>12</v>
      </c>
      <c r="S52" s="109" t="s">
        <v>10</v>
      </c>
      <c r="T52" s="110" t="s">
        <v>11</v>
      </c>
      <c r="U52" s="111" t="s">
        <v>12</v>
      </c>
      <c r="V52" s="112" t="s">
        <v>13</v>
      </c>
      <c r="W52" s="93"/>
      <c r="X52" s="94"/>
      <c r="Y52" s="113" t="s">
        <v>69</v>
      </c>
      <c r="Z52" s="93"/>
      <c r="AA52" s="94"/>
      <c r="AB52" s="95"/>
      <c r="AC52" s="95"/>
      <c r="AD52" s="95"/>
      <c r="AE52" s="95"/>
      <c r="AF52" s="95"/>
      <c r="AG52" s="95"/>
      <c r="AH52" s="95"/>
      <c r="AI52" s="95"/>
      <c r="AJ52" s="95"/>
      <c r="AK52" s="95"/>
      <c r="AL52" s="95"/>
      <c r="AM52" s="95"/>
      <c r="AN52" s="95"/>
      <c r="AO52" s="95"/>
      <c r="AP52" s="95"/>
      <c r="AQ52" s="95"/>
      <c r="AR52" s="95"/>
      <c r="AS52" s="95"/>
    </row>
    <row r="53" ht="15.0" customHeight="1">
      <c r="A53" s="116" t="s">
        <v>70</v>
      </c>
      <c r="B53" s="117" t="s">
        <v>132</v>
      </c>
      <c r="C53" s="118" t="s">
        <v>15</v>
      </c>
      <c r="D53" s="119" t="s">
        <v>39</v>
      </c>
      <c r="E53" s="120"/>
      <c r="F53" s="119" t="s">
        <v>17</v>
      </c>
      <c r="G53" s="124"/>
      <c r="H53" s="125"/>
      <c r="I53" s="123">
        <f t="shared" ref="I53:I56" si="31">G53/(1.0278-(0.0278*H53))</f>
        <v>0</v>
      </c>
      <c r="J53" s="124"/>
      <c r="K53" s="125"/>
      <c r="L53" s="123">
        <f t="shared" ref="L53:L56" si="32">J53/(1.0278-(0.0278*K53))</f>
        <v>0</v>
      </c>
      <c r="M53" s="124"/>
      <c r="N53" s="125"/>
      <c r="O53" s="123">
        <f t="shared" ref="O53:O56" si="33">M53/(1.0278-(0.0278*N53))</f>
        <v>0</v>
      </c>
      <c r="P53" s="124"/>
      <c r="Q53" s="125"/>
      <c r="R53" s="123">
        <f t="shared" ref="R53:R56" si="34">P53/(1.0278-(0.0278*Q53))</f>
        <v>0</v>
      </c>
      <c r="S53" s="124"/>
      <c r="T53" s="125"/>
      <c r="U53" s="123">
        <f t="shared" ref="U53:U56" si="35">S53/(1.0278-(0.0278*T53))</f>
        <v>0</v>
      </c>
      <c r="V53" s="126">
        <f t="shared" ref="V53:V56" si="36">+G53*H53+J53*K53+M53*N53+P53*Q53+S53*T53</f>
        <v>0</v>
      </c>
      <c r="W53" s="12"/>
      <c r="X53" s="13"/>
      <c r="Y53" s="127"/>
      <c r="Z53" s="128"/>
      <c r="AA53" s="129"/>
      <c r="AB53" s="95"/>
      <c r="AC53" s="95"/>
      <c r="AD53" s="95"/>
      <c r="AE53" s="95"/>
      <c r="AF53" s="95"/>
      <c r="AG53" s="95"/>
      <c r="AH53" s="95"/>
      <c r="AI53" s="95"/>
      <c r="AJ53" s="95"/>
      <c r="AK53" s="95"/>
      <c r="AL53" s="95"/>
      <c r="AM53" s="95"/>
      <c r="AN53" s="95"/>
      <c r="AO53" s="95"/>
      <c r="AP53" s="95"/>
      <c r="AQ53" s="95"/>
      <c r="AR53" s="95"/>
      <c r="AS53" s="95"/>
    </row>
    <row r="54" ht="15.0" customHeight="1">
      <c r="A54" s="116" t="s">
        <v>72</v>
      </c>
      <c r="B54" s="117" t="s">
        <v>133</v>
      </c>
      <c r="C54" s="118" t="s">
        <v>15</v>
      </c>
      <c r="D54" s="174" t="s">
        <v>39</v>
      </c>
      <c r="E54" s="120"/>
      <c r="F54" s="119" t="s">
        <v>17</v>
      </c>
      <c r="G54" s="124"/>
      <c r="H54" s="125"/>
      <c r="I54" s="123">
        <f t="shared" si="31"/>
        <v>0</v>
      </c>
      <c r="J54" s="124"/>
      <c r="K54" s="125"/>
      <c r="L54" s="123">
        <f t="shared" si="32"/>
        <v>0</v>
      </c>
      <c r="M54" s="124"/>
      <c r="N54" s="125"/>
      <c r="O54" s="123">
        <f t="shared" si="33"/>
        <v>0</v>
      </c>
      <c r="P54" s="124"/>
      <c r="Q54" s="125"/>
      <c r="R54" s="123">
        <f t="shared" si="34"/>
        <v>0</v>
      </c>
      <c r="S54" s="124"/>
      <c r="T54" s="125"/>
      <c r="U54" s="123">
        <f t="shared" si="35"/>
        <v>0</v>
      </c>
      <c r="V54" s="126">
        <f t="shared" si="36"/>
        <v>0</v>
      </c>
      <c r="W54" s="12"/>
      <c r="X54" s="13"/>
      <c r="Y54" s="127"/>
      <c r="Z54" s="128"/>
      <c r="AA54" s="129"/>
      <c r="AB54" s="95"/>
      <c r="AC54" s="95"/>
      <c r="AD54" s="95"/>
      <c r="AE54" s="95"/>
      <c r="AF54" s="95"/>
      <c r="AG54" s="95"/>
      <c r="AH54" s="95"/>
      <c r="AI54" s="95"/>
      <c r="AJ54" s="95"/>
      <c r="AK54" s="95"/>
      <c r="AL54" s="95"/>
      <c r="AM54" s="95"/>
      <c r="AN54" s="95"/>
      <c r="AO54" s="95"/>
      <c r="AP54" s="95"/>
      <c r="AQ54" s="95"/>
      <c r="AR54" s="95"/>
      <c r="AS54" s="95"/>
    </row>
    <row r="55" ht="15.0" customHeight="1">
      <c r="A55" s="116" t="s">
        <v>74</v>
      </c>
      <c r="B55" s="117" t="s">
        <v>134</v>
      </c>
      <c r="C55" s="138" t="s">
        <v>15</v>
      </c>
      <c r="D55" s="174" t="s">
        <v>39</v>
      </c>
      <c r="E55" s="136"/>
      <c r="F55" s="137">
        <v>60.0</v>
      </c>
      <c r="G55" s="124"/>
      <c r="H55" s="125"/>
      <c r="I55" s="123">
        <f t="shared" si="31"/>
        <v>0</v>
      </c>
      <c r="J55" s="124"/>
      <c r="K55" s="125"/>
      <c r="L55" s="123">
        <f t="shared" si="32"/>
        <v>0</v>
      </c>
      <c r="M55" s="124"/>
      <c r="N55" s="125"/>
      <c r="O55" s="123">
        <f t="shared" si="33"/>
        <v>0</v>
      </c>
      <c r="P55" s="124"/>
      <c r="Q55" s="125"/>
      <c r="R55" s="123">
        <f t="shared" si="34"/>
        <v>0</v>
      </c>
      <c r="S55" s="124"/>
      <c r="T55" s="125"/>
      <c r="U55" s="123">
        <f t="shared" si="35"/>
        <v>0</v>
      </c>
      <c r="V55" s="126">
        <f t="shared" si="36"/>
        <v>0</v>
      </c>
      <c r="W55" s="12"/>
      <c r="X55" s="13"/>
      <c r="Y55" s="127"/>
      <c r="Z55" s="128"/>
      <c r="AA55" s="129"/>
      <c r="AB55" s="95"/>
      <c r="AC55" s="95"/>
      <c r="AD55" s="95"/>
      <c r="AE55" s="95"/>
      <c r="AF55" s="95"/>
      <c r="AG55" s="95"/>
      <c r="AH55" s="95"/>
      <c r="AI55" s="95"/>
      <c r="AJ55" s="95"/>
      <c r="AK55" s="95"/>
      <c r="AL55" s="95"/>
      <c r="AM55" s="95"/>
      <c r="AN55" s="95"/>
      <c r="AO55" s="95"/>
      <c r="AP55" s="95"/>
      <c r="AQ55" s="95"/>
      <c r="AR55" s="95"/>
      <c r="AS55" s="95"/>
    </row>
    <row r="56" ht="15.0" customHeight="1">
      <c r="A56" s="116" t="s">
        <v>77</v>
      </c>
      <c r="B56" s="117" t="s">
        <v>135</v>
      </c>
      <c r="C56" s="118" t="s">
        <v>15</v>
      </c>
      <c r="D56" s="119" t="s">
        <v>39</v>
      </c>
      <c r="E56" s="136"/>
      <c r="F56" s="137">
        <v>60.0</v>
      </c>
      <c r="G56" s="124"/>
      <c r="H56" s="125"/>
      <c r="I56" s="123">
        <f t="shared" si="31"/>
        <v>0</v>
      </c>
      <c r="J56" s="124"/>
      <c r="K56" s="125"/>
      <c r="L56" s="123">
        <f t="shared" si="32"/>
        <v>0</v>
      </c>
      <c r="M56" s="124"/>
      <c r="N56" s="125"/>
      <c r="O56" s="123">
        <f t="shared" si="33"/>
        <v>0</v>
      </c>
      <c r="P56" s="124"/>
      <c r="Q56" s="125"/>
      <c r="R56" s="123">
        <f t="shared" si="34"/>
        <v>0</v>
      </c>
      <c r="S56" s="124"/>
      <c r="T56" s="125"/>
      <c r="U56" s="123">
        <f t="shared" si="35"/>
        <v>0</v>
      </c>
      <c r="V56" s="126">
        <f t="shared" si="36"/>
        <v>0</v>
      </c>
      <c r="W56" s="12"/>
      <c r="X56" s="13"/>
      <c r="Y56" s="127"/>
      <c r="Z56" s="128"/>
      <c r="AA56" s="129"/>
      <c r="AB56" s="95"/>
      <c r="AC56" s="95"/>
      <c r="AD56" s="95"/>
      <c r="AE56" s="95"/>
      <c r="AF56" s="95"/>
      <c r="AG56" s="95"/>
      <c r="AH56" s="95"/>
      <c r="AI56" s="95"/>
      <c r="AJ56" s="95"/>
      <c r="AK56" s="95"/>
      <c r="AL56" s="95"/>
      <c r="AM56" s="95"/>
      <c r="AN56" s="95"/>
      <c r="AO56" s="95"/>
      <c r="AP56" s="95"/>
      <c r="AQ56" s="95"/>
      <c r="AR56" s="95"/>
      <c r="AS56" s="95"/>
    </row>
    <row r="57" ht="15.0" customHeight="1">
      <c r="A57" s="130"/>
      <c r="B57" s="117" t="s">
        <v>136</v>
      </c>
      <c r="C57" s="118" t="s">
        <v>15</v>
      </c>
      <c r="D57" s="119" t="s">
        <v>39</v>
      </c>
      <c r="E57" s="136"/>
      <c r="F57" s="137">
        <v>60.0</v>
      </c>
      <c r="G57" s="124"/>
      <c r="H57" s="125"/>
      <c r="I57" s="123"/>
      <c r="J57" s="124"/>
      <c r="K57" s="125"/>
      <c r="L57" s="123"/>
      <c r="M57" s="124"/>
      <c r="N57" s="125"/>
      <c r="O57" s="123"/>
      <c r="P57" s="124"/>
      <c r="Q57" s="125"/>
      <c r="R57" s="123"/>
      <c r="S57" s="124"/>
      <c r="T57" s="125"/>
      <c r="U57" s="123"/>
      <c r="V57" s="131"/>
      <c r="W57" s="131"/>
      <c r="X57" s="131"/>
      <c r="Y57" s="132"/>
      <c r="Z57" s="132"/>
      <c r="AA57" s="132"/>
      <c r="AB57" s="95"/>
      <c r="AC57" s="95"/>
      <c r="AD57" s="95"/>
      <c r="AE57" s="95"/>
      <c r="AF57" s="95"/>
      <c r="AG57" s="95"/>
      <c r="AH57" s="95"/>
      <c r="AI57" s="95"/>
      <c r="AJ57" s="95"/>
      <c r="AK57" s="95"/>
      <c r="AL57" s="95"/>
      <c r="AM57" s="95"/>
      <c r="AN57" s="95"/>
      <c r="AO57" s="95"/>
      <c r="AP57" s="95"/>
      <c r="AQ57" s="95"/>
      <c r="AR57" s="95"/>
      <c r="AS57" s="95"/>
    </row>
    <row r="58" ht="15.0" customHeight="1">
      <c r="A58" s="130"/>
      <c r="B58" s="117" t="s">
        <v>31</v>
      </c>
      <c r="C58" s="118" t="s">
        <v>15</v>
      </c>
      <c r="D58" s="119" t="s">
        <v>39</v>
      </c>
      <c r="E58" s="136"/>
      <c r="F58" s="137">
        <v>60.0</v>
      </c>
      <c r="G58" s="124"/>
      <c r="H58" s="125"/>
      <c r="I58" s="123"/>
      <c r="J58" s="124"/>
      <c r="K58" s="125"/>
      <c r="L58" s="123"/>
      <c r="M58" s="124"/>
      <c r="N58" s="125"/>
      <c r="O58" s="123"/>
      <c r="P58" s="124"/>
      <c r="Q58" s="125"/>
      <c r="R58" s="123"/>
      <c r="S58" s="124"/>
      <c r="T58" s="125"/>
      <c r="U58" s="123"/>
      <c r="V58" s="131"/>
      <c r="W58" s="131"/>
      <c r="X58" s="131"/>
      <c r="Y58" s="132"/>
      <c r="Z58" s="132"/>
      <c r="AA58" s="132"/>
      <c r="AB58" s="95"/>
      <c r="AC58" s="95"/>
      <c r="AD58" s="95"/>
      <c r="AE58" s="95"/>
      <c r="AF58" s="95"/>
      <c r="AG58" s="95"/>
      <c r="AH58" s="95"/>
      <c r="AI58" s="95"/>
      <c r="AJ58" s="95"/>
      <c r="AK58" s="95"/>
      <c r="AL58" s="95"/>
      <c r="AM58" s="95"/>
      <c r="AN58" s="95"/>
      <c r="AO58" s="95"/>
      <c r="AP58" s="95"/>
      <c r="AQ58" s="95"/>
      <c r="AR58" s="95"/>
      <c r="AS58" s="95"/>
    </row>
    <row r="59" ht="15.0" customHeight="1">
      <c r="A59" s="130"/>
      <c r="B59" s="117" t="s">
        <v>137</v>
      </c>
      <c r="C59" s="118"/>
      <c r="D59" s="119" t="s">
        <v>138</v>
      </c>
      <c r="E59" s="136"/>
      <c r="F59" s="137">
        <v>60.0</v>
      </c>
      <c r="G59" s="124"/>
      <c r="H59" s="125"/>
      <c r="I59" s="123">
        <f>G59/(1.0278-(0.0278*H59))</f>
        <v>0</v>
      </c>
      <c r="J59" s="124"/>
      <c r="K59" s="125"/>
      <c r="L59" s="123">
        <f>J59/(1.0278-(0.0278*K59))</f>
        <v>0</v>
      </c>
      <c r="M59" s="124"/>
      <c r="N59" s="125"/>
      <c r="O59" s="123">
        <f>M59/(1.0278-(0.0278*N59))</f>
        <v>0</v>
      </c>
      <c r="P59" s="124"/>
      <c r="Q59" s="125"/>
      <c r="R59" s="123">
        <f>P59/(1.0278-(0.0278*Q59))</f>
        <v>0</v>
      </c>
      <c r="S59" s="124"/>
      <c r="T59" s="125"/>
      <c r="U59" s="123">
        <f>S59/(1.0278-(0.0278*T59))</f>
        <v>0</v>
      </c>
      <c r="V59" s="126">
        <f>+G59*H59+J59*K59+M59*N59+P59*Q59+S59*T59</f>
        <v>0</v>
      </c>
      <c r="W59" s="12"/>
      <c r="X59" s="13"/>
      <c r="Y59" s="127"/>
      <c r="Z59" s="128"/>
      <c r="AA59" s="129"/>
      <c r="AB59" s="95"/>
      <c r="AC59" s="95"/>
      <c r="AD59" s="95"/>
      <c r="AE59" s="95"/>
      <c r="AF59" s="95"/>
      <c r="AG59" s="95"/>
      <c r="AH59" s="95"/>
      <c r="AI59" s="95"/>
      <c r="AJ59" s="95"/>
      <c r="AK59" s="95"/>
      <c r="AL59" s="95"/>
      <c r="AM59" s="95"/>
      <c r="AN59" s="95"/>
      <c r="AO59" s="95"/>
      <c r="AP59" s="95"/>
      <c r="AQ59" s="95"/>
      <c r="AR59" s="95"/>
      <c r="AS59" s="95"/>
    </row>
    <row r="60" ht="15.0" customHeight="1">
      <c r="A60" s="106" t="s">
        <v>68</v>
      </c>
      <c r="B60" s="135" t="s">
        <v>35</v>
      </c>
      <c r="C60" s="108" t="s">
        <v>6</v>
      </c>
      <c r="D60" s="108" t="s">
        <v>7</v>
      </c>
      <c r="E60" s="108" t="s">
        <v>8</v>
      </c>
      <c r="F60" s="108" t="s">
        <v>28</v>
      </c>
      <c r="G60" s="109" t="s">
        <v>10</v>
      </c>
      <c r="H60" s="110" t="s">
        <v>11</v>
      </c>
      <c r="I60" s="111" t="s">
        <v>12</v>
      </c>
      <c r="J60" s="109" t="s">
        <v>10</v>
      </c>
      <c r="K60" s="110" t="s">
        <v>11</v>
      </c>
      <c r="L60" s="111" t="s">
        <v>12</v>
      </c>
      <c r="M60" s="109" t="s">
        <v>10</v>
      </c>
      <c r="N60" s="110" t="s">
        <v>11</v>
      </c>
      <c r="O60" s="111" t="s">
        <v>12</v>
      </c>
      <c r="P60" s="109" t="s">
        <v>10</v>
      </c>
      <c r="Q60" s="110" t="s">
        <v>11</v>
      </c>
      <c r="R60" s="111" t="s">
        <v>12</v>
      </c>
      <c r="S60" s="109" t="s">
        <v>10</v>
      </c>
      <c r="T60" s="110" t="s">
        <v>11</v>
      </c>
      <c r="U60" s="111" t="s">
        <v>12</v>
      </c>
      <c r="V60" s="112" t="s">
        <v>13</v>
      </c>
      <c r="W60" s="93"/>
      <c r="X60" s="94"/>
      <c r="Y60" s="113" t="s">
        <v>69</v>
      </c>
      <c r="Z60" s="93"/>
      <c r="AA60" s="94"/>
      <c r="AB60" s="95"/>
      <c r="AC60" s="95"/>
      <c r="AD60" s="95"/>
      <c r="AE60" s="95"/>
      <c r="AF60" s="95"/>
      <c r="AG60" s="95"/>
      <c r="AH60" s="95"/>
      <c r="AI60" s="95"/>
      <c r="AJ60" s="95"/>
      <c r="AK60" s="95"/>
      <c r="AL60" s="95"/>
      <c r="AM60" s="95"/>
      <c r="AN60" s="95"/>
      <c r="AO60" s="95"/>
      <c r="AP60" s="95"/>
      <c r="AQ60" s="95"/>
      <c r="AR60" s="95"/>
      <c r="AS60" s="95"/>
    </row>
    <row r="61" ht="15.0" customHeight="1">
      <c r="A61" s="139" t="s">
        <v>90</v>
      </c>
      <c r="B61" s="140" t="s">
        <v>139</v>
      </c>
      <c r="C61" s="141"/>
      <c r="D61" s="142"/>
      <c r="E61" s="142"/>
      <c r="F61" s="142"/>
      <c r="G61" s="124"/>
      <c r="H61" s="125"/>
      <c r="I61" s="123">
        <f>G61/(1.0278-(0.0278*H61))</f>
        <v>0</v>
      </c>
      <c r="J61" s="124"/>
      <c r="K61" s="125"/>
      <c r="L61" s="123">
        <f>J61/(1.0278-(0.0278*K61))</f>
        <v>0</v>
      </c>
      <c r="M61" s="124"/>
      <c r="N61" s="125"/>
      <c r="O61" s="123">
        <f>M61/(1.0278-(0.0278*N61))</f>
        <v>0</v>
      </c>
      <c r="P61" s="124"/>
      <c r="Q61" s="125"/>
      <c r="R61" s="123">
        <f>P61/(1.0278-(0.0278*Q61))</f>
        <v>0</v>
      </c>
      <c r="S61" s="124"/>
      <c r="T61" s="125"/>
      <c r="U61" s="123">
        <f>S61/(1.0278-(0.0278*T61))</f>
        <v>0</v>
      </c>
      <c r="V61" s="126">
        <f>+G61*H61+J61*K61+M61*N61+P61*Q61+S61*T61</f>
        <v>0</v>
      </c>
      <c r="W61" s="12"/>
      <c r="X61" s="13"/>
      <c r="Y61" s="127"/>
      <c r="Z61" s="128"/>
      <c r="AA61" s="129"/>
      <c r="AB61" s="95"/>
      <c r="AC61" s="95"/>
      <c r="AD61" s="95"/>
      <c r="AE61" s="95"/>
      <c r="AF61" s="95"/>
      <c r="AG61" s="95"/>
      <c r="AH61" s="95"/>
      <c r="AI61" s="95"/>
      <c r="AJ61" s="95"/>
      <c r="AK61" s="95"/>
      <c r="AL61" s="95"/>
      <c r="AM61" s="95"/>
      <c r="AN61" s="95"/>
      <c r="AO61" s="95"/>
      <c r="AP61" s="95"/>
      <c r="AQ61" s="95"/>
      <c r="AR61" s="95"/>
      <c r="AS61" s="95"/>
    </row>
    <row r="62" ht="15.0" customHeight="1">
      <c r="A62" s="106" t="s">
        <v>68</v>
      </c>
      <c r="B62" s="135" t="s">
        <v>37</v>
      </c>
      <c r="C62" s="143" t="s">
        <v>6</v>
      </c>
      <c r="D62" s="143" t="s">
        <v>7</v>
      </c>
      <c r="E62" s="144" t="s">
        <v>8</v>
      </c>
      <c r="F62" s="108" t="s">
        <v>28</v>
      </c>
      <c r="G62" s="109" t="s">
        <v>10</v>
      </c>
      <c r="H62" s="110" t="s">
        <v>11</v>
      </c>
      <c r="I62" s="111" t="s">
        <v>12</v>
      </c>
      <c r="J62" s="109" t="s">
        <v>10</v>
      </c>
      <c r="K62" s="110" t="s">
        <v>11</v>
      </c>
      <c r="L62" s="111" t="s">
        <v>12</v>
      </c>
      <c r="M62" s="109" t="s">
        <v>10</v>
      </c>
      <c r="N62" s="110" t="s">
        <v>11</v>
      </c>
      <c r="O62" s="111" t="s">
        <v>12</v>
      </c>
      <c r="P62" s="109" t="s">
        <v>10</v>
      </c>
      <c r="Q62" s="110" t="s">
        <v>11</v>
      </c>
      <c r="R62" s="111" t="s">
        <v>12</v>
      </c>
      <c r="S62" s="109" t="s">
        <v>10</v>
      </c>
      <c r="T62" s="110" t="s">
        <v>11</v>
      </c>
      <c r="U62" s="111" t="s">
        <v>12</v>
      </c>
      <c r="V62" s="112" t="s">
        <v>13</v>
      </c>
      <c r="W62" s="93"/>
      <c r="X62" s="94"/>
      <c r="Y62" s="113" t="s">
        <v>69</v>
      </c>
      <c r="Z62" s="93"/>
      <c r="AA62" s="94"/>
      <c r="AB62" s="95"/>
      <c r="AC62" s="95"/>
      <c r="AD62" s="95"/>
      <c r="AE62" s="95"/>
      <c r="AF62" s="95"/>
      <c r="AG62" s="95"/>
      <c r="AH62" s="95"/>
      <c r="AI62" s="95"/>
      <c r="AJ62" s="95"/>
      <c r="AK62" s="95"/>
      <c r="AL62" s="95"/>
      <c r="AM62" s="95"/>
      <c r="AN62" s="95"/>
      <c r="AO62" s="95"/>
      <c r="AP62" s="95"/>
      <c r="AQ62" s="95"/>
      <c r="AR62" s="95"/>
      <c r="AS62" s="95"/>
    </row>
    <row r="63" ht="15.0" customHeight="1">
      <c r="A63" s="145" t="s">
        <v>92</v>
      </c>
      <c r="B63" s="140" t="s">
        <v>140</v>
      </c>
      <c r="C63" s="146" t="s">
        <v>94</v>
      </c>
      <c r="D63" s="147" t="s">
        <v>39</v>
      </c>
      <c r="E63" s="142"/>
      <c r="F63" s="147" t="s">
        <v>17</v>
      </c>
      <c r="G63" s="124"/>
      <c r="H63" s="125"/>
      <c r="I63" s="123">
        <f t="shared" ref="I63:I68" si="37">G63/(1.0278-(0.0278*H63))</f>
        <v>0</v>
      </c>
      <c r="J63" s="124"/>
      <c r="K63" s="125"/>
      <c r="L63" s="123">
        <f t="shared" ref="L63:L68" si="38">J63/(1.0278-(0.0278*K63))</f>
        <v>0</v>
      </c>
      <c r="M63" s="124"/>
      <c r="N63" s="125"/>
      <c r="O63" s="123">
        <f t="shared" ref="O63:O68" si="39">M63/(1.0278-(0.0278*N63))</f>
        <v>0</v>
      </c>
      <c r="P63" s="124"/>
      <c r="Q63" s="125"/>
      <c r="R63" s="123">
        <f t="shared" ref="R63:R68" si="40">P63/(1.0278-(0.0278*Q63))</f>
        <v>0</v>
      </c>
      <c r="S63" s="124"/>
      <c r="T63" s="125"/>
      <c r="U63" s="123">
        <f t="shared" ref="U63:U68" si="41">S63/(1.0278-(0.0278*T63))</f>
        <v>0</v>
      </c>
      <c r="V63" s="126">
        <f t="shared" ref="V63:V68" si="42">+G63*H63+J63*K63+M63*N63+P63*Q63+S63*T63</f>
        <v>0</v>
      </c>
      <c r="W63" s="12"/>
      <c r="X63" s="13"/>
      <c r="Y63" s="148"/>
      <c r="Z63" s="128"/>
      <c r="AA63" s="129"/>
      <c r="AB63" s="95"/>
      <c r="AC63" s="95"/>
      <c r="AD63" s="95"/>
      <c r="AE63" s="95"/>
      <c r="AF63" s="95"/>
      <c r="AG63" s="95"/>
      <c r="AH63" s="95"/>
      <c r="AI63" s="95"/>
      <c r="AJ63" s="95"/>
      <c r="AK63" s="95"/>
      <c r="AL63" s="95"/>
      <c r="AM63" s="95"/>
      <c r="AN63" s="95"/>
      <c r="AO63" s="95"/>
      <c r="AP63" s="95"/>
      <c r="AQ63" s="95"/>
      <c r="AR63" s="95"/>
      <c r="AS63" s="95"/>
    </row>
    <row r="64" ht="15.0" customHeight="1">
      <c r="A64" s="116" t="s">
        <v>95</v>
      </c>
      <c r="B64" s="117" t="s">
        <v>141</v>
      </c>
      <c r="C64" s="118" t="s">
        <v>106</v>
      </c>
      <c r="D64" s="119" t="s">
        <v>39</v>
      </c>
      <c r="E64" s="120"/>
      <c r="F64" s="119" t="s">
        <v>17</v>
      </c>
      <c r="G64" s="124"/>
      <c r="H64" s="125"/>
      <c r="I64" s="123">
        <f t="shared" si="37"/>
        <v>0</v>
      </c>
      <c r="J64" s="124"/>
      <c r="K64" s="125"/>
      <c r="L64" s="123">
        <f t="shared" si="38"/>
        <v>0</v>
      </c>
      <c r="M64" s="124"/>
      <c r="N64" s="125"/>
      <c r="O64" s="123">
        <f t="shared" si="39"/>
        <v>0</v>
      </c>
      <c r="P64" s="124"/>
      <c r="Q64" s="125"/>
      <c r="R64" s="123">
        <f t="shared" si="40"/>
        <v>0</v>
      </c>
      <c r="S64" s="124"/>
      <c r="T64" s="125"/>
      <c r="U64" s="123">
        <f t="shared" si="41"/>
        <v>0</v>
      </c>
      <c r="V64" s="126">
        <f t="shared" si="42"/>
        <v>0</v>
      </c>
      <c r="W64" s="12"/>
      <c r="X64" s="13"/>
      <c r="Y64" s="127"/>
      <c r="Z64" s="128"/>
      <c r="AA64" s="129"/>
      <c r="AB64" s="95"/>
      <c r="AC64" s="95"/>
      <c r="AD64" s="95"/>
      <c r="AE64" s="95"/>
      <c r="AF64" s="95"/>
      <c r="AG64" s="95"/>
      <c r="AH64" s="95"/>
      <c r="AI64" s="95"/>
      <c r="AJ64" s="95"/>
      <c r="AK64" s="95"/>
      <c r="AL64" s="95"/>
      <c r="AM64" s="95"/>
      <c r="AN64" s="95"/>
      <c r="AO64" s="95"/>
      <c r="AP64" s="95"/>
      <c r="AQ64" s="95"/>
      <c r="AR64" s="95"/>
      <c r="AS64" s="95"/>
    </row>
    <row r="65" ht="15.0" customHeight="1">
      <c r="A65" s="116" t="s">
        <v>97</v>
      </c>
      <c r="B65" s="117" t="s">
        <v>142</v>
      </c>
      <c r="C65" s="118" t="s">
        <v>15</v>
      </c>
      <c r="D65" s="119" t="s">
        <v>39</v>
      </c>
      <c r="E65" s="120"/>
      <c r="F65" s="119" t="s">
        <v>17</v>
      </c>
      <c r="G65" s="124"/>
      <c r="H65" s="125"/>
      <c r="I65" s="123">
        <f t="shared" si="37"/>
        <v>0</v>
      </c>
      <c r="J65" s="124"/>
      <c r="K65" s="125"/>
      <c r="L65" s="123">
        <f t="shared" si="38"/>
        <v>0</v>
      </c>
      <c r="M65" s="124"/>
      <c r="N65" s="125"/>
      <c r="O65" s="123">
        <f t="shared" si="39"/>
        <v>0</v>
      </c>
      <c r="P65" s="124"/>
      <c r="Q65" s="125"/>
      <c r="R65" s="123">
        <f t="shared" si="40"/>
        <v>0</v>
      </c>
      <c r="S65" s="124"/>
      <c r="T65" s="125"/>
      <c r="U65" s="123">
        <f t="shared" si="41"/>
        <v>0</v>
      </c>
      <c r="V65" s="126">
        <f t="shared" si="42"/>
        <v>0</v>
      </c>
      <c r="W65" s="12"/>
      <c r="X65" s="13"/>
      <c r="Y65" s="127"/>
      <c r="Z65" s="128"/>
      <c r="AA65" s="129"/>
      <c r="AB65" s="95"/>
      <c r="AC65" s="95"/>
      <c r="AD65" s="95"/>
      <c r="AE65" s="95"/>
      <c r="AF65" s="95"/>
      <c r="AG65" s="95"/>
      <c r="AH65" s="95"/>
      <c r="AI65" s="95"/>
      <c r="AJ65" s="95"/>
      <c r="AK65" s="95"/>
      <c r="AL65" s="95"/>
      <c r="AM65" s="95"/>
      <c r="AN65" s="95"/>
      <c r="AO65" s="95"/>
      <c r="AP65" s="95"/>
      <c r="AQ65" s="95"/>
      <c r="AR65" s="95"/>
      <c r="AS65" s="95"/>
    </row>
    <row r="66" ht="15.0" customHeight="1">
      <c r="A66" s="116" t="s">
        <v>99</v>
      </c>
      <c r="B66" s="117" t="s">
        <v>143</v>
      </c>
      <c r="C66" s="118" t="s">
        <v>15</v>
      </c>
      <c r="D66" s="119" t="s">
        <v>39</v>
      </c>
      <c r="E66" s="120"/>
      <c r="F66" s="119" t="s">
        <v>17</v>
      </c>
      <c r="G66" s="124"/>
      <c r="H66" s="125"/>
      <c r="I66" s="123">
        <f t="shared" si="37"/>
        <v>0</v>
      </c>
      <c r="J66" s="124"/>
      <c r="K66" s="125"/>
      <c r="L66" s="123">
        <f t="shared" si="38"/>
        <v>0</v>
      </c>
      <c r="M66" s="124"/>
      <c r="N66" s="125"/>
      <c r="O66" s="123">
        <f t="shared" si="39"/>
        <v>0</v>
      </c>
      <c r="P66" s="124"/>
      <c r="Q66" s="125"/>
      <c r="R66" s="123">
        <f t="shared" si="40"/>
        <v>0</v>
      </c>
      <c r="S66" s="124"/>
      <c r="T66" s="125"/>
      <c r="U66" s="123">
        <f t="shared" si="41"/>
        <v>0</v>
      </c>
      <c r="V66" s="126">
        <f t="shared" si="42"/>
        <v>0</v>
      </c>
      <c r="W66" s="12"/>
      <c r="X66" s="13"/>
      <c r="Y66" s="127"/>
      <c r="Z66" s="128"/>
      <c r="AA66" s="129"/>
      <c r="AB66" s="95"/>
      <c r="AC66" s="95"/>
      <c r="AD66" s="95"/>
      <c r="AE66" s="95"/>
      <c r="AF66" s="95"/>
      <c r="AG66" s="95"/>
      <c r="AH66" s="95"/>
      <c r="AI66" s="95"/>
      <c r="AJ66" s="95"/>
      <c r="AK66" s="95"/>
      <c r="AL66" s="95"/>
      <c r="AM66" s="95"/>
      <c r="AN66" s="95"/>
      <c r="AO66" s="95"/>
      <c r="AP66" s="95"/>
      <c r="AQ66" s="95"/>
      <c r="AR66" s="95"/>
      <c r="AS66" s="95"/>
    </row>
    <row r="67" ht="15.0" customHeight="1">
      <c r="A67" s="116" t="s">
        <v>101</v>
      </c>
      <c r="B67" s="117" t="s">
        <v>144</v>
      </c>
      <c r="C67" s="118" t="s">
        <v>15</v>
      </c>
      <c r="D67" s="119" t="s">
        <v>107</v>
      </c>
      <c r="E67" s="120"/>
      <c r="F67" s="119" t="s">
        <v>17</v>
      </c>
      <c r="G67" s="124"/>
      <c r="H67" s="125"/>
      <c r="I67" s="123">
        <f t="shared" si="37"/>
        <v>0</v>
      </c>
      <c r="J67" s="124"/>
      <c r="K67" s="125"/>
      <c r="L67" s="123">
        <f t="shared" si="38"/>
        <v>0</v>
      </c>
      <c r="M67" s="124"/>
      <c r="N67" s="125"/>
      <c r="O67" s="123">
        <f t="shared" si="39"/>
        <v>0</v>
      </c>
      <c r="P67" s="124"/>
      <c r="Q67" s="125"/>
      <c r="R67" s="123">
        <f t="shared" si="40"/>
        <v>0</v>
      </c>
      <c r="S67" s="124"/>
      <c r="T67" s="125"/>
      <c r="U67" s="123">
        <f t="shared" si="41"/>
        <v>0</v>
      </c>
      <c r="V67" s="126">
        <f t="shared" si="42"/>
        <v>0</v>
      </c>
      <c r="W67" s="12"/>
      <c r="X67" s="13"/>
      <c r="Y67" s="127"/>
      <c r="Z67" s="128"/>
      <c r="AA67" s="129"/>
      <c r="AB67" s="95"/>
      <c r="AC67" s="95"/>
      <c r="AD67" s="95"/>
      <c r="AE67" s="95"/>
      <c r="AF67" s="95"/>
      <c r="AG67" s="95"/>
      <c r="AH67" s="95"/>
      <c r="AI67" s="95"/>
      <c r="AJ67" s="95"/>
      <c r="AK67" s="95"/>
      <c r="AL67" s="95"/>
      <c r="AM67" s="95"/>
      <c r="AN67" s="95"/>
      <c r="AO67" s="95"/>
      <c r="AP67" s="95"/>
      <c r="AQ67" s="95"/>
      <c r="AR67" s="95"/>
      <c r="AS67" s="95"/>
    </row>
    <row r="68" ht="15.0" customHeight="1">
      <c r="A68" s="116" t="s">
        <v>103</v>
      </c>
      <c r="B68" s="117" t="s">
        <v>145</v>
      </c>
      <c r="C68" s="118" t="s">
        <v>94</v>
      </c>
      <c r="D68" s="119" t="s">
        <v>39</v>
      </c>
      <c r="E68" s="120"/>
      <c r="F68" s="119" t="s">
        <v>17</v>
      </c>
      <c r="G68" s="124"/>
      <c r="H68" s="125"/>
      <c r="I68" s="123">
        <f t="shared" si="37"/>
        <v>0</v>
      </c>
      <c r="J68" s="124"/>
      <c r="K68" s="125"/>
      <c r="L68" s="123">
        <f t="shared" si="38"/>
        <v>0</v>
      </c>
      <c r="M68" s="124"/>
      <c r="N68" s="125"/>
      <c r="O68" s="123">
        <f t="shared" si="39"/>
        <v>0</v>
      </c>
      <c r="P68" s="124"/>
      <c r="Q68" s="125"/>
      <c r="R68" s="123">
        <f t="shared" si="40"/>
        <v>0</v>
      </c>
      <c r="S68" s="124"/>
      <c r="T68" s="125"/>
      <c r="U68" s="123">
        <f t="shared" si="41"/>
        <v>0</v>
      </c>
      <c r="V68" s="126">
        <f t="shared" si="42"/>
        <v>0</v>
      </c>
      <c r="W68" s="12"/>
      <c r="X68" s="13"/>
      <c r="Y68" s="127"/>
      <c r="Z68" s="128"/>
      <c r="AA68" s="129"/>
      <c r="AB68" s="95"/>
      <c r="AC68" s="95"/>
      <c r="AD68" s="95"/>
      <c r="AE68" s="95"/>
      <c r="AF68" s="95"/>
      <c r="AG68" s="95"/>
      <c r="AH68" s="95"/>
      <c r="AI68" s="95"/>
      <c r="AJ68" s="95"/>
      <c r="AK68" s="95"/>
      <c r="AL68" s="95"/>
      <c r="AM68" s="95"/>
      <c r="AN68" s="95"/>
      <c r="AO68" s="95"/>
      <c r="AP68" s="95"/>
      <c r="AQ68" s="95"/>
      <c r="AR68" s="95"/>
      <c r="AS68" s="95"/>
    </row>
    <row r="69" ht="15.0" customHeight="1">
      <c r="A69" s="130"/>
      <c r="B69" s="117" t="s">
        <v>146</v>
      </c>
      <c r="C69" s="118" t="s">
        <v>123</v>
      </c>
      <c r="D69" s="119" t="s">
        <v>147</v>
      </c>
      <c r="E69" s="120"/>
      <c r="F69" s="119"/>
      <c r="G69" s="124"/>
      <c r="H69" s="125"/>
      <c r="I69" s="123"/>
      <c r="J69" s="124"/>
      <c r="K69" s="125"/>
      <c r="L69" s="123"/>
      <c r="M69" s="124"/>
      <c r="N69" s="125"/>
      <c r="O69" s="123"/>
      <c r="P69" s="124"/>
      <c r="Q69" s="125"/>
      <c r="R69" s="123"/>
      <c r="S69" s="124"/>
      <c r="T69" s="125"/>
      <c r="U69" s="123"/>
      <c r="V69" s="131"/>
      <c r="W69" s="131"/>
      <c r="X69" s="131"/>
      <c r="Y69" s="175"/>
      <c r="Z69" s="175"/>
      <c r="AA69" s="175"/>
      <c r="AB69" s="95"/>
      <c r="AC69" s="95"/>
      <c r="AD69" s="95"/>
      <c r="AE69" s="95"/>
      <c r="AF69" s="95"/>
      <c r="AG69" s="95"/>
      <c r="AH69" s="95"/>
      <c r="AI69" s="95"/>
      <c r="AJ69" s="95"/>
      <c r="AK69" s="95"/>
      <c r="AL69" s="95"/>
      <c r="AM69" s="95"/>
      <c r="AN69" s="95"/>
      <c r="AO69" s="95"/>
      <c r="AP69" s="95"/>
      <c r="AQ69" s="95"/>
      <c r="AR69" s="95"/>
      <c r="AS69" s="95"/>
    </row>
    <row r="70" ht="15.0" customHeight="1">
      <c r="A70" s="130"/>
      <c r="B70" s="117" t="s">
        <v>148</v>
      </c>
      <c r="C70" s="118" t="s">
        <v>15</v>
      </c>
      <c r="D70" s="119" t="s">
        <v>89</v>
      </c>
      <c r="E70" s="120"/>
      <c r="F70" s="119" t="s">
        <v>17</v>
      </c>
      <c r="G70" s="124"/>
      <c r="H70" s="125"/>
      <c r="I70" s="123">
        <f>G70/(1.0278-(0.0278*H70))</f>
        <v>0</v>
      </c>
      <c r="J70" s="124"/>
      <c r="K70" s="125"/>
      <c r="L70" s="123">
        <f>J70/(1.0278-(0.0278*K70))</f>
        <v>0</v>
      </c>
      <c r="M70" s="124"/>
      <c r="N70" s="125"/>
      <c r="O70" s="123">
        <f>M70/(1.0278-(0.0278*N70))</f>
        <v>0</v>
      </c>
      <c r="P70" s="124"/>
      <c r="Q70" s="125"/>
      <c r="R70" s="123">
        <f>P70/(1.0278-(0.0278*Q70))</f>
        <v>0</v>
      </c>
      <c r="S70" s="124"/>
      <c r="T70" s="125"/>
      <c r="U70" s="123">
        <f>S70/(1.0278-(0.0278*T70))</f>
        <v>0</v>
      </c>
      <c r="V70" s="126">
        <f>+G70*H70+J70*K70+M70*N70+P70*Q70+S70*T70</f>
        <v>0</v>
      </c>
      <c r="W70" s="12"/>
      <c r="X70" s="13"/>
      <c r="Y70" s="148"/>
      <c r="Z70" s="128"/>
      <c r="AA70" s="129"/>
      <c r="AB70" s="95"/>
      <c r="AC70" s="95"/>
      <c r="AD70" s="95"/>
      <c r="AE70" s="95"/>
      <c r="AF70" s="95"/>
      <c r="AG70" s="95"/>
      <c r="AH70" s="95"/>
      <c r="AI70" s="95"/>
      <c r="AJ70" s="95"/>
      <c r="AK70" s="95"/>
      <c r="AL70" s="95"/>
      <c r="AM70" s="95"/>
      <c r="AN70" s="95"/>
      <c r="AO70" s="95"/>
      <c r="AP70" s="95"/>
      <c r="AQ70" s="95"/>
      <c r="AR70" s="95"/>
      <c r="AS70" s="95"/>
    </row>
    <row r="71" ht="15.0" customHeight="1">
      <c r="A71" s="106" t="s">
        <v>68</v>
      </c>
      <c r="B71" s="135" t="s">
        <v>42</v>
      </c>
      <c r="C71" s="143" t="s">
        <v>6</v>
      </c>
      <c r="D71" s="143" t="s">
        <v>7</v>
      </c>
      <c r="E71" s="144" t="s">
        <v>8</v>
      </c>
      <c r="F71" s="108" t="s">
        <v>28</v>
      </c>
      <c r="G71" s="109" t="s">
        <v>10</v>
      </c>
      <c r="H71" s="110" t="s">
        <v>11</v>
      </c>
      <c r="I71" s="111" t="s">
        <v>12</v>
      </c>
      <c r="J71" s="109" t="s">
        <v>10</v>
      </c>
      <c r="K71" s="110" t="s">
        <v>11</v>
      </c>
      <c r="L71" s="111" t="s">
        <v>12</v>
      </c>
      <c r="M71" s="109" t="s">
        <v>10</v>
      </c>
      <c r="N71" s="110" t="s">
        <v>11</v>
      </c>
      <c r="O71" s="111" t="s">
        <v>12</v>
      </c>
      <c r="P71" s="109" t="s">
        <v>10</v>
      </c>
      <c r="Q71" s="110" t="s">
        <v>11</v>
      </c>
      <c r="R71" s="111" t="s">
        <v>12</v>
      </c>
      <c r="S71" s="109" t="s">
        <v>10</v>
      </c>
      <c r="T71" s="110" t="s">
        <v>11</v>
      </c>
      <c r="U71" s="111" t="s">
        <v>12</v>
      </c>
      <c r="V71" s="112" t="s">
        <v>13</v>
      </c>
      <c r="W71" s="93"/>
      <c r="X71" s="94"/>
      <c r="Y71" s="113" t="s">
        <v>69</v>
      </c>
      <c r="Z71" s="93"/>
      <c r="AA71" s="94"/>
      <c r="AB71" s="95"/>
      <c r="AC71" s="95"/>
      <c r="AD71" s="95"/>
      <c r="AE71" s="95"/>
      <c r="AF71" s="95"/>
      <c r="AG71" s="95"/>
      <c r="AH71" s="95"/>
      <c r="AI71" s="95"/>
      <c r="AJ71" s="95"/>
      <c r="AK71" s="95"/>
      <c r="AL71" s="95"/>
      <c r="AM71" s="95"/>
      <c r="AN71" s="95"/>
      <c r="AO71" s="95"/>
      <c r="AP71" s="95"/>
      <c r="AQ71" s="95"/>
      <c r="AR71" s="95"/>
      <c r="AS71" s="95"/>
    </row>
    <row r="72" ht="15.0" customHeight="1">
      <c r="A72" s="116" t="s">
        <v>70</v>
      </c>
      <c r="B72" s="117" t="s">
        <v>149</v>
      </c>
      <c r="C72" s="118" t="s">
        <v>15</v>
      </c>
      <c r="D72" s="119" t="s">
        <v>26</v>
      </c>
      <c r="E72" s="120"/>
      <c r="F72" s="119" t="s">
        <v>17</v>
      </c>
      <c r="G72" s="124"/>
      <c r="H72" s="125"/>
      <c r="I72" s="123">
        <f t="shared" ref="I72:I76" si="43">G72/(1.0278-(0.0278*H72))</f>
        <v>0</v>
      </c>
      <c r="J72" s="124"/>
      <c r="K72" s="125"/>
      <c r="L72" s="123">
        <f t="shared" ref="L72:L76" si="44">J72/(1.0278-(0.0278*K72))</f>
        <v>0</v>
      </c>
      <c r="M72" s="124"/>
      <c r="N72" s="125"/>
      <c r="O72" s="123">
        <f t="shared" ref="O72:O76" si="45">M72/(1.0278-(0.0278*N72))</f>
        <v>0</v>
      </c>
      <c r="P72" s="124"/>
      <c r="Q72" s="125"/>
      <c r="R72" s="123">
        <f t="shared" ref="R72:R76" si="46">P72/(1.0278-(0.0278*Q72))</f>
        <v>0</v>
      </c>
      <c r="S72" s="124"/>
      <c r="T72" s="125"/>
      <c r="U72" s="123">
        <f t="shared" ref="U72:U76" si="47">S72/(1.0278-(0.0278*T72))</f>
        <v>0</v>
      </c>
      <c r="V72" s="126">
        <f t="shared" ref="V72:V76" si="48">+G72*H72+J72*K72+M72*N72+P72*Q72+S72*T72</f>
        <v>0</v>
      </c>
      <c r="W72" s="12"/>
      <c r="X72" s="13"/>
      <c r="Y72" s="127"/>
      <c r="Z72" s="128"/>
      <c r="AA72" s="129"/>
      <c r="AB72" s="95"/>
      <c r="AC72" s="95"/>
      <c r="AD72" s="95"/>
      <c r="AE72" s="95"/>
      <c r="AF72" s="95"/>
      <c r="AG72" s="95"/>
      <c r="AH72" s="95"/>
      <c r="AI72" s="95"/>
      <c r="AJ72" s="95"/>
      <c r="AK72" s="95"/>
      <c r="AL72" s="95"/>
      <c r="AM72" s="95"/>
      <c r="AN72" s="95"/>
      <c r="AO72" s="95"/>
      <c r="AP72" s="95"/>
      <c r="AQ72" s="95"/>
      <c r="AR72" s="95"/>
      <c r="AS72" s="95"/>
    </row>
    <row r="73" ht="15.0" customHeight="1">
      <c r="A73" s="116" t="s">
        <v>72</v>
      </c>
      <c r="B73" s="117" t="s">
        <v>150</v>
      </c>
      <c r="C73" s="118" t="s">
        <v>15</v>
      </c>
      <c r="D73" s="119" t="s">
        <v>26</v>
      </c>
      <c r="E73" s="120"/>
      <c r="F73" s="119" t="s">
        <v>17</v>
      </c>
      <c r="G73" s="124"/>
      <c r="H73" s="125"/>
      <c r="I73" s="123">
        <f t="shared" si="43"/>
        <v>0</v>
      </c>
      <c r="J73" s="124"/>
      <c r="K73" s="125"/>
      <c r="L73" s="123">
        <f t="shared" si="44"/>
        <v>0</v>
      </c>
      <c r="M73" s="124"/>
      <c r="N73" s="125"/>
      <c r="O73" s="123">
        <f t="shared" si="45"/>
        <v>0</v>
      </c>
      <c r="P73" s="124"/>
      <c r="Q73" s="125"/>
      <c r="R73" s="123">
        <f t="shared" si="46"/>
        <v>0</v>
      </c>
      <c r="S73" s="124"/>
      <c r="T73" s="125"/>
      <c r="U73" s="123">
        <f t="shared" si="47"/>
        <v>0</v>
      </c>
      <c r="V73" s="126">
        <f t="shared" si="48"/>
        <v>0</v>
      </c>
      <c r="W73" s="12"/>
      <c r="X73" s="13"/>
      <c r="Y73" s="127"/>
      <c r="Z73" s="128"/>
      <c r="AA73" s="129"/>
      <c r="AB73" s="95"/>
      <c r="AC73" s="95"/>
      <c r="AD73" s="95"/>
      <c r="AE73" s="95"/>
      <c r="AF73" s="95"/>
      <c r="AG73" s="95"/>
      <c r="AH73" s="95"/>
      <c r="AI73" s="95"/>
      <c r="AJ73" s="95"/>
      <c r="AK73" s="95"/>
      <c r="AL73" s="95"/>
      <c r="AM73" s="95"/>
      <c r="AN73" s="95"/>
      <c r="AO73" s="95"/>
      <c r="AP73" s="95"/>
      <c r="AQ73" s="95"/>
      <c r="AR73" s="95"/>
      <c r="AS73" s="95"/>
    </row>
    <row r="74" ht="15.0" customHeight="1">
      <c r="A74" s="116" t="s">
        <v>74</v>
      </c>
      <c r="B74" s="117" t="s">
        <v>151</v>
      </c>
      <c r="C74" s="118" t="s">
        <v>15</v>
      </c>
      <c r="D74" s="119" t="s">
        <v>39</v>
      </c>
      <c r="E74" s="120"/>
      <c r="F74" s="119" t="s">
        <v>17</v>
      </c>
      <c r="G74" s="124"/>
      <c r="H74" s="125"/>
      <c r="I74" s="123">
        <f t="shared" si="43"/>
        <v>0</v>
      </c>
      <c r="J74" s="124"/>
      <c r="K74" s="125"/>
      <c r="L74" s="123">
        <f t="shared" si="44"/>
        <v>0</v>
      </c>
      <c r="M74" s="124"/>
      <c r="N74" s="125"/>
      <c r="O74" s="123">
        <f t="shared" si="45"/>
        <v>0</v>
      </c>
      <c r="P74" s="124"/>
      <c r="Q74" s="125"/>
      <c r="R74" s="123">
        <f t="shared" si="46"/>
        <v>0</v>
      </c>
      <c r="S74" s="124"/>
      <c r="T74" s="125"/>
      <c r="U74" s="123">
        <f t="shared" si="47"/>
        <v>0</v>
      </c>
      <c r="V74" s="126">
        <f t="shared" si="48"/>
        <v>0</v>
      </c>
      <c r="W74" s="12"/>
      <c r="X74" s="13"/>
      <c r="Y74" s="127"/>
      <c r="Z74" s="128"/>
      <c r="AA74" s="129"/>
      <c r="AB74" s="95"/>
      <c r="AC74" s="95"/>
      <c r="AD74" s="95"/>
      <c r="AE74" s="95"/>
      <c r="AF74" s="95"/>
      <c r="AG74" s="95"/>
      <c r="AH74" s="95"/>
      <c r="AI74" s="95"/>
      <c r="AJ74" s="95"/>
      <c r="AK74" s="95"/>
      <c r="AL74" s="95"/>
      <c r="AM74" s="95"/>
      <c r="AN74" s="95"/>
      <c r="AO74" s="95"/>
      <c r="AP74" s="95"/>
      <c r="AQ74" s="95"/>
      <c r="AR74" s="95"/>
      <c r="AS74" s="95"/>
    </row>
    <row r="75" ht="15.0" customHeight="1">
      <c r="A75" s="116" t="s">
        <v>77</v>
      </c>
      <c r="B75" s="117" t="s">
        <v>152</v>
      </c>
      <c r="C75" s="118" t="s">
        <v>15</v>
      </c>
      <c r="D75" s="119" t="s">
        <v>39</v>
      </c>
      <c r="E75" s="120"/>
      <c r="F75" s="119" t="s">
        <v>17</v>
      </c>
      <c r="G75" s="124"/>
      <c r="H75" s="125"/>
      <c r="I75" s="123">
        <f t="shared" si="43"/>
        <v>0</v>
      </c>
      <c r="J75" s="124"/>
      <c r="K75" s="125"/>
      <c r="L75" s="123">
        <f t="shared" si="44"/>
        <v>0</v>
      </c>
      <c r="M75" s="124"/>
      <c r="N75" s="125"/>
      <c r="O75" s="123">
        <f t="shared" si="45"/>
        <v>0</v>
      </c>
      <c r="P75" s="124"/>
      <c r="Q75" s="125"/>
      <c r="R75" s="123">
        <f t="shared" si="46"/>
        <v>0</v>
      </c>
      <c r="S75" s="124"/>
      <c r="T75" s="125"/>
      <c r="U75" s="123">
        <f t="shared" si="47"/>
        <v>0</v>
      </c>
      <c r="V75" s="126">
        <f t="shared" si="48"/>
        <v>0</v>
      </c>
      <c r="W75" s="12"/>
      <c r="X75" s="13"/>
      <c r="Y75" s="148"/>
      <c r="Z75" s="128"/>
      <c r="AA75" s="129"/>
      <c r="AB75" s="95"/>
      <c r="AC75" s="95"/>
      <c r="AD75" s="95"/>
      <c r="AE75" s="95"/>
      <c r="AF75" s="95"/>
      <c r="AG75" s="95"/>
      <c r="AH75" s="95"/>
      <c r="AI75" s="95"/>
      <c r="AJ75" s="95"/>
      <c r="AK75" s="95"/>
      <c r="AL75" s="95"/>
      <c r="AM75" s="95"/>
      <c r="AN75" s="95"/>
      <c r="AO75" s="95"/>
      <c r="AP75" s="95"/>
      <c r="AQ75" s="95"/>
      <c r="AR75" s="95"/>
      <c r="AS75" s="95"/>
    </row>
    <row r="76" ht="15.0" customHeight="1">
      <c r="A76" s="149"/>
      <c r="B76" s="117" t="s">
        <v>153</v>
      </c>
      <c r="C76" s="118" t="s">
        <v>15</v>
      </c>
      <c r="D76" s="119" t="s">
        <v>107</v>
      </c>
      <c r="E76" s="120"/>
      <c r="F76" s="119" t="s">
        <v>17</v>
      </c>
      <c r="G76" s="124"/>
      <c r="H76" s="125"/>
      <c r="I76" s="123">
        <f t="shared" si="43"/>
        <v>0</v>
      </c>
      <c r="J76" s="124"/>
      <c r="K76" s="125"/>
      <c r="L76" s="123">
        <f t="shared" si="44"/>
        <v>0</v>
      </c>
      <c r="M76" s="124"/>
      <c r="N76" s="125"/>
      <c r="O76" s="123">
        <f t="shared" si="45"/>
        <v>0</v>
      </c>
      <c r="P76" s="124"/>
      <c r="Q76" s="125"/>
      <c r="R76" s="123">
        <f t="shared" si="46"/>
        <v>0</v>
      </c>
      <c r="S76" s="124"/>
      <c r="T76" s="125"/>
      <c r="U76" s="123">
        <f t="shared" si="47"/>
        <v>0</v>
      </c>
      <c r="V76" s="126">
        <f t="shared" si="48"/>
        <v>0</v>
      </c>
      <c r="W76" s="12"/>
      <c r="X76" s="13"/>
      <c r="Y76" s="127"/>
      <c r="Z76" s="128"/>
      <c r="AA76" s="129"/>
      <c r="AB76" s="95"/>
      <c r="AC76" s="95"/>
      <c r="AD76" s="95"/>
      <c r="AE76" s="95"/>
      <c r="AF76" s="95"/>
      <c r="AG76" s="95"/>
      <c r="AH76" s="95"/>
      <c r="AI76" s="95"/>
      <c r="AJ76" s="95"/>
      <c r="AK76" s="95"/>
      <c r="AL76" s="95"/>
      <c r="AM76" s="95"/>
      <c r="AN76" s="95"/>
      <c r="AO76" s="95"/>
      <c r="AP76" s="95"/>
      <c r="AQ76" s="95"/>
      <c r="AR76" s="95"/>
      <c r="AS76" s="95"/>
    </row>
    <row r="77" ht="15.0" customHeight="1">
      <c r="A77" s="176"/>
      <c r="B77" s="177" t="s">
        <v>154</v>
      </c>
      <c r="C77" s="178">
        <v>3.0</v>
      </c>
      <c r="D77" s="178" t="s">
        <v>107</v>
      </c>
      <c r="E77" s="179"/>
      <c r="F77" s="178">
        <v>60.0</v>
      </c>
      <c r="G77" s="179"/>
      <c r="H77" s="179"/>
      <c r="I77" s="179"/>
      <c r="J77" s="179"/>
      <c r="K77" s="179"/>
      <c r="L77" s="179"/>
      <c r="M77" s="179"/>
      <c r="N77" s="179"/>
      <c r="O77" s="179"/>
      <c r="P77" s="179"/>
      <c r="Q77" s="179"/>
      <c r="R77" s="179"/>
      <c r="S77" s="179"/>
      <c r="T77" s="179"/>
      <c r="U77" s="179"/>
      <c r="V77" s="179"/>
      <c r="W77" s="179"/>
      <c r="X77" s="179"/>
      <c r="Y77" s="179"/>
      <c r="Z77" s="179"/>
      <c r="AA77" s="164"/>
      <c r="AB77" s="95"/>
      <c r="AC77" s="95"/>
      <c r="AD77" s="95"/>
      <c r="AE77" s="95"/>
      <c r="AF77" s="95"/>
      <c r="AG77" s="95"/>
      <c r="AH77" s="95"/>
      <c r="AI77" s="95"/>
      <c r="AJ77" s="95"/>
      <c r="AK77" s="95"/>
      <c r="AL77" s="95"/>
      <c r="AM77" s="95"/>
      <c r="AN77" s="95"/>
      <c r="AO77" s="95"/>
      <c r="AP77" s="95"/>
      <c r="AQ77" s="95"/>
      <c r="AR77" s="95"/>
      <c r="AS77" s="95"/>
    </row>
    <row r="78" ht="15.0" customHeight="1">
      <c r="A78" s="176"/>
      <c r="B78" s="177" t="s">
        <v>82</v>
      </c>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c r="AA78" s="164"/>
      <c r="AB78" s="95"/>
      <c r="AC78" s="95"/>
      <c r="AD78" s="95"/>
      <c r="AE78" s="95"/>
      <c r="AF78" s="95"/>
      <c r="AG78" s="95"/>
      <c r="AH78" s="95"/>
      <c r="AI78" s="95"/>
      <c r="AJ78" s="95"/>
      <c r="AK78" s="95"/>
      <c r="AL78" s="95"/>
      <c r="AM78" s="95"/>
      <c r="AN78" s="95"/>
      <c r="AO78" s="95"/>
      <c r="AP78" s="95"/>
      <c r="AQ78" s="95"/>
      <c r="AR78" s="95"/>
      <c r="AS78" s="95"/>
    </row>
    <row r="79" ht="15.0" customHeight="1">
      <c r="A79" s="150" t="s">
        <v>68</v>
      </c>
      <c r="B79" s="151" t="s">
        <v>112</v>
      </c>
      <c r="C79" s="152" t="s">
        <v>6</v>
      </c>
      <c r="D79" s="152" t="s">
        <v>7</v>
      </c>
      <c r="E79" s="152" t="s">
        <v>8</v>
      </c>
      <c r="F79" s="152" t="s">
        <v>28</v>
      </c>
      <c r="G79" s="153" t="s">
        <v>10</v>
      </c>
      <c r="H79" s="153" t="s">
        <v>11</v>
      </c>
      <c r="I79" s="154" t="s">
        <v>12</v>
      </c>
      <c r="J79" s="153" t="s">
        <v>10</v>
      </c>
      <c r="K79" s="153" t="s">
        <v>11</v>
      </c>
      <c r="L79" s="154" t="s">
        <v>12</v>
      </c>
      <c r="M79" s="153" t="s">
        <v>10</v>
      </c>
      <c r="N79" s="153" t="s">
        <v>11</v>
      </c>
      <c r="O79" s="154" t="s">
        <v>12</v>
      </c>
      <c r="P79" s="153" t="s">
        <v>10</v>
      </c>
      <c r="Q79" s="153" t="s">
        <v>11</v>
      </c>
      <c r="R79" s="154" t="s">
        <v>12</v>
      </c>
      <c r="S79" s="153" t="s">
        <v>10</v>
      </c>
      <c r="T79" s="153" t="s">
        <v>11</v>
      </c>
      <c r="U79" s="154" t="s">
        <v>12</v>
      </c>
      <c r="V79" s="155" t="s">
        <v>13</v>
      </c>
      <c r="W79" s="93"/>
      <c r="X79" s="94"/>
      <c r="Y79" s="156" t="s">
        <v>69</v>
      </c>
      <c r="Z79" s="93"/>
      <c r="AA79" s="94"/>
      <c r="AB79" s="95"/>
      <c r="AC79" s="95"/>
      <c r="AD79" s="95"/>
      <c r="AE79" s="95"/>
      <c r="AF79" s="95"/>
      <c r="AG79" s="95"/>
      <c r="AH79" s="95"/>
      <c r="AI79" s="95"/>
      <c r="AJ79" s="95"/>
      <c r="AK79" s="95"/>
      <c r="AL79" s="95"/>
      <c r="AM79" s="95"/>
      <c r="AN79" s="95"/>
      <c r="AO79" s="95"/>
      <c r="AP79" s="95"/>
      <c r="AQ79" s="95"/>
      <c r="AR79" s="95"/>
      <c r="AS79" s="95"/>
    </row>
    <row r="80" ht="15.0" customHeight="1">
      <c r="A80" s="157" t="s">
        <v>90</v>
      </c>
      <c r="B80" s="158" t="s">
        <v>113</v>
      </c>
      <c r="C80" s="159"/>
      <c r="D80" s="159"/>
      <c r="E80" s="159"/>
      <c r="F80" s="160"/>
      <c r="G80" s="161"/>
      <c r="H80" s="161"/>
      <c r="I80" s="162"/>
      <c r="J80" s="161"/>
      <c r="K80" s="161"/>
      <c r="L80" s="162"/>
      <c r="M80" s="161"/>
      <c r="N80" s="161"/>
      <c r="O80" s="162"/>
      <c r="P80" s="161"/>
      <c r="Q80" s="161"/>
      <c r="R80" s="162"/>
      <c r="S80" s="161"/>
      <c r="T80" s="161"/>
      <c r="U80" s="162"/>
      <c r="V80" s="163"/>
      <c r="W80" s="163"/>
      <c r="X80" s="163"/>
      <c r="Y80" s="164"/>
      <c r="Z80" s="164"/>
      <c r="AA80" s="164"/>
      <c r="AB80" s="95"/>
      <c r="AC80" s="95"/>
      <c r="AD80" s="95"/>
      <c r="AE80" s="95"/>
      <c r="AF80" s="95"/>
      <c r="AG80" s="95"/>
      <c r="AH80" s="95"/>
      <c r="AI80" s="95"/>
      <c r="AJ80" s="95"/>
      <c r="AK80" s="95"/>
      <c r="AL80" s="95"/>
      <c r="AM80" s="95"/>
      <c r="AN80" s="95"/>
      <c r="AO80" s="95"/>
      <c r="AP80" s="95"/>
      <c r="AQ80" s="95"/>
      <c r="AR80" s="95"/>
      <c r="AS80" s="95"/>
    </row>
    <row r="81" ht="15.0" customHeight="1">
      <c r="A81" s="165"/>
      <c r="B81" s="166" t="s">
        <v>155</v>
      </c>
      <c r="C81" s="159"/>
      <c r="D81" s="159"/>
      <c r="E81" s="159"/>
      <c r="F81" s="160"/>
      <c r="G81" s="161"/>
      <c r="H81" s="161"/>
      <c r="I81" s="162"/>
      <c r="J81" s="161"/>
      <c r="K81" s="161"/>
      <c r="L81" s="162"/>
      <c r="M81" s="161"/>
      <c r="N81" s="161"/>
      <c r="O81" s="162"/>
      <c r="P81" s="161"/>
      <c r="Q81" s="161"/>
      <c r="R81" s="162"/>
      <c r="S81" s="161"/>
      <c r="T81" s="161"/>
      <c r="U81" s="162"/>
      <c r="V81" s="163"/>
      <c r="W81" s="163"/>
      <c r="X81" s="163"/>
      <c r="Y81" s="164"/>
      <c r="Z81" s="164"/>
      <c r="AA81" s="164"/>
      <c r="AB81" s="95"/>
      <c r="AC81" s="95"/>
      <c r="AD81" s="95"/>
      <c r="AE81" s="95"/>
      <c r="AF81" s="95"/>
      <c r="AG81" s="95"/>
      <c r="AH81" s="95"/>
      <c r="AI81" s="95"/>
      <c r="AJ81" s="95"/>
      <c r="AK81" s="95"/>
      <c r="AL81" s="95"/>
      <c r="AM81" s="95"/>
      <c r="AN81" s="95"/>
      <c r="AO81" s="95"/>
      <c r="AP81" s="95"/>
      <c r="AQ81" s="95"/>
      <c r="AR81" s="95"/>
      <c r="AS81" s="95"/>
    </row>
    <row r="82" ht="15.0" customHeight="1">
      <c r="A82" s="165"/>
      <c r="B82" s="166" t="s">
        <v>156</v>
      </c>
      <c r="C82" s="159"/>
      <c r="D82" s="159"/>
      <c r="E82" s="159"/>
      <c r="F82" s="160"/>
      <c r="G82" s="161"/>
      <c r="H82" s="161"/>
      <c r="I82" s="162"/>
      <c r="J82" s="161"/>
      <c r="K82" s="161"/>
      <c r="L82" s="162"/>
      <c r="M82" s="161"/>
      <c r="N82" s="161"/>
      <c r="O82" s="162"/>
      <c r="P82" s="161"/>
      <c r="Q82" s="161"/>
      <c r="R82" s="162"/>
      <c r="S82" s="161"/>
      <c r="T82" s="161"/>
      <c r="U82" s="162"/>
      <c r="V82" s="163"/>
      <c r="W82" s="163"/>
      <c r="X82" s="163"/>
      <c r="Y82" s="164"/>
      <c r="Z82" s="164"/>
      <c r="AA82" s="164"/>
      <c r="AB82" s="95"/>
      <c r="AC82" s="95"/>
      <c r="AD82" s="95"/>
      <c r="AE82" s="95"/>
      <c r="AF82" s="95"/>
      <c r="AG82" s="95"/>
      <c r="AH82" s="95"/>
      <c r="AI82" s="95"/>
      <c r="AJ82" s="95"/>
      <c r="AK82" s="95"/>
      <c r="AL82" s="95"/>
      <c r="AM82" s="95"/>
      <c r="AN82" s="95"/>
      <c r="AO82" s="95"/>
      <c r="AP82" s="95"/>
      <c r="AQ82" s="95"/>
      <c r="AR82" s="95"/>
      <c r="AS82" s="95"/>
    </row>
    <row r="83" ht="15.0" customHeight="1">
      <c r="A83" s="165"/>
      <c r="B83" s="166" t="s">
        <v>157</v>
      </c>
      <c r="C83" s="159"/>
      <c r="D83" s="159"/>
      <c r="E83" s="159"/>
      <c r="F83" s="160"/>
      <c r="G83" s="161"/>
      <c r="H83" s="161"/>
      <c r="I83" s="162"/>
      <c r="J83" s="161"/>
      <c r="K83" s="161"/>
      <c r="L83" s="162"/>
      <c r="M83" s="161"/>
      <c r="N83" s="161"/>
      <c r="O83" s="162"/>
      <c r="P83" s="161"/>
      <c r="Q83" s="161"/>
      <c r="R83" s="162"/>
      <c r="S83" s="161"/>
      <c r="T83" s="161"/>
      <c r="U83" s="162"/>
      <c r="V83" s="163"/>
      <c r="W83" s="163"/>
      <c r="X83" s="163"/>
      <c r="Y83" s="164"/>
      <c r="Z83" s="164"/>
      <c r="AA83" s="164"/>
      <c r="AB83" s="95"/>
      <c r="AC83" s="95"/>
      <c r="AD83" s="95"/>
      <c r="AE83" s="95"/>
      <c r="AF83" s="95"/>
      <c r="AG83" s="95"/>
      <c r="AH83" s="95"/>
      <c r="AI83" s="95"/>
      <c r="AJ83" s="95"/>
      <c r="AK83" s="95"/>
      <c r="AL83" s="95"/>
      <c r="AM83" s="95"/>
      <c r="AN83" s="95"/>
      <c r="AO83" s="95"/>
      <c r="AP83" s="95"/>
      <c r="AQ83" s="95"/>
      <c r="AR83" s="95"/>
      <c r="AS83" s="95"/>
    </row>
    <row r="84" ht="15.0" customHeight="1">
      <c r="A84" s="165"/>
      <c r="B84" s="166" t="s">
        <v>158</v>
      </c>
      <c r="C84" s="159"/>
      <c r="D84" s="159"/>
      <c r="E84" s="159"/>
      <c r="F84" s="160"/>
      <c r="G84" s="161"/>
      <c r="H84" s="161"/>
      <c r="I84" s="162"/>
      <c r="J84" s="161"/>
      <c r="K84" s="161"/>
      <c r="L84" s="162"/>
      <c r="M84" s="161"/>
      <c r="N84" s="161"/>
      <c r="O84" s="162"/>
      <c r="P84" s="161"/>
      <c r="Q84" s="161"/>
      <c r="R84" s="162"/>
      <c r="S84" s="161"/>
      <c r="T84" s="161"/>
      <c r="U84" s="162"/>
      <c r="V84" s="163"/>
      <c r="W84" s="163"/>
      <c r="X84" s="163"/>
      <c r="Y84" s="164"/>
      <c r="Z84" s="164"/>
      <c r="AA84" s="164"/>
      <c r="AB84" s="95"/>
      <c r="AC84" s="95"/>
      <c r="AD84" s="95"/>
      <c r="AE84" s="95"/>
      <c r="AF84" s="95"/>
      <c r="AG84" s="95"/>
      <c r="AH84" s="95"/>
      <c r="AI84" s="95"/>
      <c r="AJ84" s="95"/>
      <c r="AK84" s="95"/>
      <c r="AL84" s="95"/>
      <c r="AM84" s="95"/>
      <c r="AN84" s="95"/>
      <c r="AO84" s="95"/>
      <c r="AP84" s="95"/>
      <c r="AQ84" s="95"/>
      <c r="AR84" s="95"/>
      <c r="AS84" s="95"/>
    </row>
    <row r="85" ht="15.0" customHeight="1">
      <c r="A85" s="165"/>
      <c r="B85" s="166" t="s">
        <v>159</v>
      </c>
      <c r="C85" s="159"/>
      <c r="D85" s="159"/>
      <c r="E85" s="159"/>
      <c r="F85" s="160"/>
      <c r="G85" s="161"/>
      <c r="H85" s="161"/>
      <c r="I85" s="162"/>
      <c r="J85" s="161"/>
      <c r="K85" s="161"/>
      <c r="L85" s="162"/>
      <c r="M85" s="161"/>
      <c r="N85" s="161"/>
      <c r="O85" s="162"/>
      <c r="P85" s="161"/>
      <c r="Q85" s="161"/>
      <c r="R85" s="162"/>
      <c r="S85" s="161"/>
      <c r="T85" s="161"/>
      <c r="U85" s="162"/>
      <c r="V85" s="163"/>
      <c r="W85" s="163"/>
      <c r="X85" s="163"/>
      <c r="Y85" s="164"/>
      <c r="Z85" s="164"/>
      <c r="AA85" s="164"/>
      <c r="AB85" s="95"/>
      <c r="AC85" s="95"/>
      <c r="AD85" s="95"/>
      <c r="AE85" s="95"/>
      <c r="AF85" s="95"/>
      <c r="AG85" s="95"/>
      <c r="AH85" s="95"/>
      <c r="AI85" s="95"/>
      <c r="AJ85" s="95"/>
      <c r="AK85" s="95"/>
      <c r="AL85" s="95"/>
      <c r="AM85" s="95"/>
      <c r="AN85" s="95"/>
      <c r="AO85" s="95"/>
      <c r="AP85" s="95"/>
      <c r="AQ85" s="95"/>
      <c r="AR85" s="95"/>
      <c r="AS85" s="95"/>
    </row>
    <row r="86" ht="15.0" customHeight="1">
      <c r="A86" s="167"/>
      <c r="B86" s="166" t="s">
        <v>160</v>
      </c>
      <c r="C86" s="159"/>
      <c r="D86" s="159"/>
      <c r="E86" s="159"/>
      <c r="F86" s="160"/>
      <c r="G86" s="168"/>
      <c r="H86" s="168"/>
      <c r="I86" s="169">
        <f>G86/(1.0278-(0.0278*H86))</f>
        <v>0</v>
      </c>
      <c r="J86" s="168"/>
      <c r="K86" s="168"/>
      <c r="L86" s="169">
        <f>J86/(1.0278-(0.0278*K86))</f>
        <v>0</v>
      </c>
      <c r="M86" s="168"/>
      <c r="N86" s="168"/>
      <c r="O86" s="169">
        <f>M86/(1.0278-(0.0278*N86))</f>
        <v>0</v>
      </c>
      <c r="P86" s="168"/>
      <c r="Q86" s="168"/>
      <c r="R86" s="169">
        <f>P86/(1.0278-(0.0278*Q86))</f>
        <v>0</v>
      </c>
      <c r="S86" s="168"/>
      <c r="T86" s="168"/>
      <c r="U86" s="169">
        <f>S86/(1.0278-(0.0278*T86))</f>
        <v>0</v>
      </c>
      <c r="V86" s="170" t="str">
        <f>+I86*J86+L86*M86+O86*P86+R86*S86+U86*V86</f>
        <v>#REF!</v>
      </c>
      <c r="W86" s="97"/>
      <c r="X86" s="98"/>
      <c r="Y86" s="171"/>
      <c r="Z86" s="172"/>
      <c r="AA86" s="173"/>
      <c r="AB86" s="95"/>
      <c r="AC86" s="95"/>
      <c r="AD86" s="95"/>
      <c r="AE86" s="95"/>
      <c r="AF86" s="95"/>
      <c r="AG86" s="95"/>
      <c r="AH86" s="95"/>
      <c r="AI86" s="95"/>
      <c r="AJ86" s="95"/>
      <c r="AK86" s="95"/>
      <c r="AL86" s="95"/>
      <c r="AM86" s="95"/>
      <c r="AN86" s="95"/>
      <c r="AO86" s="95"/>
      <c r="AP86" s="95"/>
      <c r="AQ86" s="95"/>
      <c r="AR86" s="95"/>
      <c r="AS86" s="95"/>
    </row>
    <row r="87" ht="15.0" customHeight="1">
      <c r="AB87" s="95"/>
      <c r="AC87" s="95"/>
      <c r="AD87" s="95"/>
      <c r="AE87" s="95"/>
      <c r="AF87" s="95"/>
      <c r="AG87" s="95"/>
      <c r="AH87" s="95"/>
      <c r="AI87" s="95"/>
      <c r="AJ87" s="95"/>
      <c r="AK87" s="95"/>
      <c r="AL87" s="95"/>
      <c r="AM87" s="95"/>
      <c r="AN87" s="95"/>
      <c r="AO87" s="95"/>
      <c r="AP87" s="95"/>
      <c r="AQ87" s="95"/>
      <c r="AR87" s="95"/>
      <c r="AS87" s="95"/>
    </row>
    <row r="88" ht="15.0" customHeight="1">
      <c r="AB88" s="95"/>
      <c r="AC88" s="95"/>
      <c r="AD88" s="95"/>
      <c r="AE88" s="95"/>
      <c r="AF88" s="95"/>
      <c r="AG88" s="95"/>
      <c r="AH88" s="95"/>
      <c r="AI88" s="95"/>
      <c r="AJ88" s="95"/>
      <c r="AK88" s="95"/>
      <c r="AL88" s="95"/>
      <c r="AM88" s="95"/>
      <c r="AN88" s="95"/>
      <c r="AO88" s="95"/>
      <c r="AP88" s="95"/>
      <c r="AQ88" s="95"/>
      <c r="AR88" s="95"/>
      <c r="AS88" s="95"/>
    </row>
    <row r="89" ht="15.0" customHeight="1">
      <c r="AB89" s="95"/>
      <c r="AC89" s="95"/>
      <c r="AD89" s="95"/>
      <c r="AE89" s="95"/>
      <c r="AF89" s="95"/>
      <c r="AG89" s="95"/>
      <c r="AH89" s="95"/>
      <c r="AI89" s="95"/>
      <c r="AJ89" s="95"/>
      <c r="AK89" s="95"/>
      <c r="AL89" s="95"/>
      <c r="AM89" s="95"/>
      <c r="AN89" s="95"/>
      <c r="AO89" s="95"/>
      <c r="AP89" s="95"/>
      <c r="AQ89" s="95"/>
      <c r="AR89" s="95"/>
      <c r="AS89" s="95"/>
    </row>
    <row r="90" ht="15.0" customHeight="1">
      <c r="AB90" s="95"/>
      <c r="AC90" s="95"/>
      <c r="AD90" s="95"/>
      <c r="AE90" s="95"/>
      <c r="AF90" s="95"/>
      <c r="AG90" s="95"/>
      <c r="AH90" s="95"/>
      <c r="AI90" s="95"/>
      <c r="AJ90" s="95"/>
      <c r="AK90" s="95"/>
      <c r="AL90" s="95"/>
      <c r="AM90" s="95"/>
      <c r="AN90" s="95"/>
      <c r="AO90" s="95"/>
      <c r="AP90" s="95"/>
      <c r="AQ90" s="95"/>
      <c r="AR90" s="95"/>
      <c r="AS90" s="95"/>
    </row>
    <row r="91" ht="15.0" customHeight="1">
      <c r="AB91" s="95"/>
      <c r="AC91" s="95"/>
      <c r="AD91" s="95"/>
      <c r="AE91" s="95"/>
      <c r="AF91" s="95"/>
      <c r="AG91" s="95"/>
      <c r="AH91" s="95"/>
      <c r="AI91" s="95"/>
      <c r="AJ91" s="95"/>
      <c r="AK91" s="95"/>
      <c r="AL91" s="95"/>
      <c r="AM91" s="95"/>
      <c r="AN91" s="95"/>
      <c r="AO91" s="95"/>
      <c r="AP91" s="95"/>
      <c r="AQ91" s="95"/>
      <c r="AR91" s="95"/>
      <c r="AS91" s="95"/>
    </row>
    <row r="92" ht="15.0" customHeight="1">
      <c r="AB92" s="95"/>
      <c r="AC92" s="95"/>
      <c r="AD92" s="95"/>
      <c r="AE92" s="95"/>
      <c r="AF92" s="95"/>
      <c r="AG92" s="95"/>
      <c r="AH92" s="95"/>
      <c r="AI92" s="95"/>
      <c r="AJ92" s="95"/>
      <c r="AK92" s="95"/>
      <c r="AL92" s="95"/>
      <c r="AM92" s="95"/>
      <c r="AN92" s="95"/>
      <c r="AO92" s="95"/>
      <c r="AP92" s="95"/>
      <c r="AQ92" s="95"/>
      <c r="AR92" s="95"/>
      <c r="AS92" s="95"/>
    </row>
    <row r="93" ht="15.0" customHeight="1">
      <c r="AB93" s="95"/>
      <c r="AC93" s="95"/>
      <c r="AD93" s="95"/>
      <c r="AE93" s="95"/>
      <c r="AF93" s="95"/>
      <c r="AG93" s="95"/>
      <c r="AH93" s="95"/>
      <c r="AI93" s="95"/>
      <c r="AJ93" s="95"/>
      <c r="AK93" s="95"/>
      <c r="AL93" s="95"/>
      <c r="AM93" s="95"/>
      <c r="AN93" s="95"/>
      <c r="AO93" s="95"/>
      <c r="AP93" s="95"/>
      <c r="AQ93" s="95"/>
      <c r="AR93" s="95"/>
      <c r="AS93" s="95"/>
    </row>
    <row r="94" ht="15.0" customHeight="1">
      <c r="AB94" s="95"/>
      <c r="AC94" s="95"/>
      <c r="AD94" s="95"/>
      <c r="AE94" s="95"/>
      <c r="AF94" s="95"/>
      <c r="AG94" s="95"/>
      <c r="AH94" s="95"/>
      <c r="AI94" s="95"/>
      <c r="AJ94" s="95"/>
      <c r="AK94" s="95"/>
      <c r="AL94" s="95"/>
      <c r="AM94" s="95"/>
      <c r="AN94" s="95"/>
      <c r="AO94" s="95"/>
      <c r="AP94" s="95"/>
      <c r="AQ94" s="95"/>
      <c r="AR94" s="95"/>
      <c r="AS94" s="95"/>
    </row>
    <row r="95" ht="15.0" customHeight="1">
      <c r="AB95" s="95"/>
      <c r="AC95" s="95"/>
      <c r="AD95" s="95"/>
      <c r="AE95" s="95"/>
      <c r="AF95" s="95"/>
      <c r="AG95" s="95"/>
      <c r="AH95" s="95"/>
      <c r="AI95" s="95"/>
      <c r="AJ95" s="95"/>
      <c r="AK95" s="95"/>
      <c r="AL95" s="95"/>
      <c r="AM95" s="95"/>
      <c r="AN95" s="95"/>
      <c r="AO95" s="95"/>
      <c r="AP95" s="95"/>
      <c r="AQ95" s="95"/>
      <c r="AR95" s="95"/>
      <c r="AS95" s="95"/>
    </row>
    <row r="96" ht="15.0" customHeight="1">
      <c r="AB96" s="95"/>
      <c r="AC96" s="95"/>
      <c r="AD96" s="95"/>
      <c r="AE96" s="95"/>
      <c r="AF96" s="95"/>
      <c r="AG96" s="95"/>
      <c r="AH96" s="95"/>
      <c r="AI96" s="95"/>
      <c r="AJ96" s="95"/>
      <c r="AK96" s="95"/>
      <c r="AL96" s="95"/>
      <c r="AM96" s="95"/>
      <c r="AN96" s="95"/>
      <c r="AO96" s="95"/>
      <c r="AP96" s="95"/>
      <c r="AQ96" s="95"/>
      <c r="AR96" s="95"/>
      <c r="AS96" s="95"/>
    </row>
    <row r="97" ht="15.0" customHeight="1">
      <c r="AB97" s="95"/>
      <c r="AC97" s="95"/>
      <c r="AD97" s="95"/>
      <c r="AE97" s="95"/>
      <c r="AF97" s="95"/>
      <c r="AG97" s="95"/>
      <c r="AH97" s="95"/>
      <c r="AI97" s="95"/>
      <c r="AJ97" s="95"/>
      <c r="AK97" s="95"/>
      <c r="AL97" s="95"/>
      <c r="AM97" s="95"/>
      <c r="AN97" s="95"/>
      <c r="AO97" s="95"/>
      <c r="AP97" s="95"/>
      <c r="AQ97" s="95"/>
      <c r="AR97" s="95"/>
      <c r="AS97" s="95"/>
    </row>
    <row r="98" ht="15.0" customHeight="1">
      <c r="AB98" s="95"/>
      <c r="AC98" s="95"/>
      <c r="AD98" s="95"/>
      <c r="AE98" s="95"/>
      <c r="AF98" s="95"/>
      <c r="AG98" s="95"/>
      <c r="AH98" s="95"/>
      <c r="AI98" s="95"/>
      <c r="AJ98" s="95"/>
      <c r="AK98" s="95"/>
      <c r="AL98" s="95"/>
      <c r="AM98" s="95"/>
      <c r="AN98" s="95"/>
      <c r="AO98" s="95"/>
      <c r="AP98" s="95"/>
      <c r="AQ98" s="95"/>
      <c r="AR98" s="95"/>
      <c r="AS98" s="95"/>
    </row>
    <row r="99" ht="15.0" customHeight="1">
      <c r="AB99" s="95"/>
      <c r="AC99" s="95"/>
      <c r="AD99" s="95"/>
      <c r="AE99" s="95"/>
      <c r="AF99" s="95"/>
      <c r="AG99" s="95"/>
      <c r="AH99" s="95"/>
      <c r="AI99" s="95"/>
      <c r="AJ99" s="95"/>
      <c r="AK99" s="95"/>
      <c r="AL99" s="95"/>
      <c r="AM99" s="95"/>
      <c r="AN99" s="95"/>
      <c r="AO99" s="95"/>
      <c r="AP99" s="95"/>
      <c r="AQ99" s="95"/>
      <c r="AR99" s="95"/>
      <c r="AS99" s="95"/>
    </row>
    <row r="100" ht="15.0" customHeight="1">
      <c r="AB100" s="95"/>
      <c r="AC100" s="95"/>
      <c r="AD100" s="95"/>
      <c r="AE100" s="95"/>
      <c r="AF100" s="95"/>
      <c r="AG100" s="95"/>
      <c r="AH100" s="95"/>
      <c r="AI100" s="95"/>
      <c r="AJ100" s="95"/>
      <c r="AK100" s="95"/>
      <c r="AL100" s="95"/>
      <c r="AM100" s="95"/>
      <c r="AN100" s="95"/>
      <c r="AO100" s="95"/>
      <c r="AP100" s="95"/>
      <c r="AQ100" s="95"/>
      <c r="AR100" s="95"/>
      <c r="AS100" s="95"/>
    </row>
    <row r="101" ht="15.0" customHeight="1">
      <c r="AB101" s="95"/>
      <c r="AC101" s="95"/>
      <c r="AD101" s="95"/>
      <c r="AE101" s="95"/>
      <c r="AF101" s="95"/>
      <c r="AG101" s="95"/>
      <c r="AH101" s="95"/>
      <c r="AI101" s="95"/>
      <c r="AJ101" s="95"/>
      <c r="AK101" s="95"/>
      <c r="AL101" s="95"/>
      <c r="AM101" s="95"/>
      <c r="AN101" s="95"/>
      <c r="AO101" s="95"/>
      <c r="AP101" s="95"/>
      <c r="AQ101" s="95"/>
      <c r="AR101" s="95"/>
      <c r="AS101" s="95"/>
    </row>
    <row r="102" ht="15.0" customHeight="1">
      <c r="AB102" s="95"/>
      <c r="AC102" s="95"/>
      <c r="AD102" s="95"/>
      <c r="AE102" s="95"/>
      <c r="AF102" s="95"/>
      <c r="AG102" s="95"/>
      <c r="AH102" s="95"/>
      <c r="AI102" s="95"/>
      <c r="AJ102" s="95"/>
      <c r="AK102" s="95"/>
      <c r="AL102" s="95"/>
      <c r="AM102" s="95"/>
      <c r="AN102" s="95"/>
      <c r="AO102" s="95"/>
      <c r="AP102" s="95"/>
      <c r="AQ102" s="95"/>
      <c r="AR102" s="95"/>
      <c r="AS102" s="95"/>
    </row>
    <row r="103" ht="15.0" customHeight="1">
      <c r="AB103" s="95"/>
      <c r="AC103" s="95"/>
      <c r="AD103" s="95"/>
      <c r="AE103" s="95"/>
      <c r="AF103" s="95"/>
      <c r="AG103" s="95"/>
      <c r="AH103" s="95"/>
      <c r="AI103" s="95"/>
      <c r="AJ103" s="95"/>
      <c r="AK103" s="95"/>
      <c r="AL103" s="95"/>
      <c r="AM103" s="95"/>
      <c r="AN103" s="95"/>
      <c r="AO103" s="95"/>
      <c r="AP103" s="95"/>
      <c r="AQ103" s="95"/>
      <c r="AR103" s="95"/>
      <c r="AS103" s="95"/>
    </row>
    <row r="104" ht="15.0" customHeight="1">
      <c r="AB104" s="95"/>
      <c r="AC104" s="95"/>
      <c r="AD104" s="95"/>
      <c r="AE104" s="95"/>
      <c r="AF104" s="95"/>
      <c r="AG104" s="95"/>
      <c r="AH104" s="95"/>
      <c r="AI104" s="95"/>
      <c r="AJ104" s="95"/>
      <c r="AK104" s="95"/>
      <c r="AL104" s="95"/>
      <c r="AM104" s="95"/>
      <c r="AN104" s="95"/>
      <c r="AO104" s="95"/>
      <c r="AP104" s="95"/>
      <c r="AQ104" s="95"/>
      <c r="AR104" s="95"/>
      <c r="AS104" s="95"/>
    </row>
    <row r="105" ht="15.0" customHeight="1">
      <c r="AB105" s="95"/>
      <c r="AC105" s="95"/>
      <c r="AD105" s="95"/>
      <c r="AE105" s="95"/>
      <c r="AF105" s="95"/>
      <c r="AG105" s="95"/>
      <c r="AH105" s="95"/>
      <c r="AI105" s="95"/>
      <c r="AJ105" s="95"/>
      <c r="AK105" s="95"/>
      <c r="AL105" s="95"/>
      <c r="AM105" s="95"/>
      <c r="AN105" s="95"/>
      <c r="AO105" s="95"/>
      <c r="AP105" s="95"/>
      <c r="AQ105" s="95"/>
      <c r="AR105" s="95"/>
      <c r="AS105" s="95"/>
    </row>
    <row r="106" ht="15.0" customHeight="1">
      <c r="AB106" s="95"/>
      <c r="AC106" s="95"/>
      <c r="AD106" s="95"/>
      <c r="AE106" s="95"/>
      <c r="AF106" s="95"/>
      <c r="AG106" s="95"/>
      <c r="AH106" s="95"/>
      <c r="AI106" s="95"/>
      <c r="AJ106" s="95"/>
      <c r="AK106" s="95"/>
      <c r="AL106" s="95"/>
      <c r="AM106" s="95"/>
      <c r="AN106" s="95"/>
      <c r="AO106" s="95"/>
      <c r="AP106" s="95"/>
      <c r="AQ106" s="95"/>
      <c r="AR106" s="95"/>
      <c r="AS106" s="95"/>
    </row>
    <row r="107" ht="15.0" customHeight="1">
      <c r="AB107" s="95"/>
      <c r="AC107" s="95"/>
      <c r="AD107" s="95"/>
      <c r="AE107" s="95"/>
      <c r="AF107" s="95"/>
      <c r="AG107" s="95"/>
      <c r="AH107" s="95"/>
      <c r="AI107" s="95"/>
      <c r="AJ107" s="95"/>
      <c r="AK107" s="95"/>
      <c r="AL107" s="95"/>
      <c r="AM107" s="95"/>
      <c r="AN107" s="95"/>
      <c r="AO107" s="95"/>
      <c r="AP107" s="95"/>
      <c r="AQ107" s="95"/>
      <c r="AR107" s="95"/>
      <c r="AS107" s="95"/>
    </row>
    <row r="108" ht="15.0" customHeight="1">
      <c r="AB108" s="95"/>
      <c r="AC108" s="95"/>
      <c r="AD108" s="95"/>
      <c r="AE108" s="95"/>
      <c r="AF108" s="95"/>
      <c r="AG108" s="95"/>
      <c r="AH108" s="95"/>
      <c r="AI108" s="95"/>
      <c r="AJ108" s="95"/>
      <c r="AK108" s="95"/>
      <c r="AL108" s="95"/>
      <c r="AM108" s="95"/>
      <c r="AN108" s="95"/>
      <c r="AO108" s="95"/>
      <c r="AP108" s="95"/>
      <c r="AQ108" s="95"/>
      <c r="AR108" s="95"/>
      <c r="AS108" s="95"/>
    </row>
    <row r="109" ht="15.0" customHeight="1">
      <c r="AB109" s="95"/>
      <c r="AC109" s="95"/>
      <c r="AD109" s="95"/>
      <c r="AE109" s="95"/>
      <c r="AF109" s="95"/>
      <c r="AG109" s="95"/>
      <c r="AH109" s="95"/>
      <c r="AI109" s="95"/>
      <c r="AJ109" s="95"/>
      <c r="AK109" s="95"/>
      <c r="AL109" s="95"/>
      <c r="AM109" s="95"/>
      <c r="AN109" s="95"/>
      <c r="AO109" s="95"/>
      <c r="AP109" s="95"/>
      <c r="AQ109" s="95"/>
      <c r="AR109" s="95"/>
      <c r="AS109" s="95"/>
    </row>
    <row r="110" ht="15.0" customHeight="1">
      <c r="AB110" s="95"/>
      <c r="AC110" s="95"/>
      <c r="AD110" s="95"/>
      <c r="AE110" s="95"/>
      <c r="AF110" s="95"/>
      <c r="AG110" s="95"/>
      <c r="AH110" s="95"/>
      <c r="AI110" s="95"/>
      <c r="AJ110" s="95"/>
      <c r="AK110" s="95"/>
      <c r="AL110" s="95"/>
      <c r="AM110" s="95"/>
      <c r="AN110" s="95"/>
      <c r="AO110" s="95"/>
      <c r="AP110" s="95"/>
      <c r="AQ110" s="95"/>
      <c r="AR110" s="95"/>
      <c r="AS110" s="95"/>
    </row>
    <row r="111" ht="15.0" customHeight="1">
      <c r="AB111" s="95"/>
      <c r="AC111" s="95"/>
      <c r="AD111" s="95"/>
      <c r="AE111" s="95"/>
      <c r="AF111" s="95"/>
      <c r="AG111" s="95"/>
      <c r="AH111" s="95"/>
      <c r="AI111" s="95"/>
      <c r="AJ111" s="95"/>
      <c r="AK111" s="95"/>
      <c r="AL111" s="95"/>
      <c r="AM111" s="95"/>
      <c r="AN111" s="95"/>
      <c r="AO111" s="95"/>
      <c r="AP111" s="95"/>
      <c r="AQ111" s="95"/>
      <c r="AR111" s="95"/>
      <c r="AS111" s="95"/>
    </row>
    <row r="112" ht="15.0" customHeight="1">
      <c r="AB112" s="95"/>
      <c r="AC112" s="95"/>
      <c r="AD112" s="95"/>
      <c r="AE112" s="95"/>
      <c r="AF112" s="95"/>
      <c r="AG112" s="95"/>
      <c r="AH112" s="95"/>
      <c r="AI112" s="95"/>
      <c r="AJ112" s="95"/>
      <c r="AK112" s="95"/>
      <c r="AL112" s="95"/>
      <c r="AM112" s="95"/>
      <c r="AN112" s="95"/>
      <c r="AO112" s="95"/>
      <c r="AP112" s="95"/>
      <c r="AQ112" s="95"/>
      <c r="AR112" s="95"/>
      <c r="AS112" s="95"/>
    </row>
    <row r="113" ht="15.0" customHeight="1">
      <c r="AB113" s="95"/>
      <c r="AC113" s="95"/>
      <c r="AD113" s="95"/>
      <c r="AE113" s="95"/>
      <c r="AF113" s="95"/>
      <c r="AG113" s="95"/>
      <c r="AH113" s="95"/>
      <c r="AI113" s="95"/>
      <c r="AJ113" s="95"/>
      <c r="AK113" s="95"/>
      <c r="AL113" s="95"/>
      <c r="AM113" s="95"/>
      <c r="AN113" s="95"/>
      <c r="AO113" s="95"/>
      <c r="AP113" s="95"/>
      <c r="AQ113" s="95"/>
      <c r="AR113" s="95"/>
      <c r="AS113" s="95"/>
    </row>
    <row r="114" ht="15.0" customHeight="1">
      <c r="AB114" s="95"/>
      <c r="AC114" s="95"/>
      <c r="AD114" s="95"/>
      <c r="AE114" s="95"/>
      <c r="AF114" s="95"/>
      <c r="AG114" s="95"/>
      <c r="AH114" s="95"/>
      <c r="AI114" s="95"/>
      <c r="AJ114" s="95"/>
      <c r="AK114" s="95"/>
      <c r="AL114" s="95"/>
      <c r="AM114" s="95"/>
      <c r="AN114" s="95"/>
      <c r="AO114" s="95"/>
      <c r="AP114" s="95"/>
      <c r="AQ114" s="95"/>
      <c r="AR114" s="95"/>
      <c r="AS114" s="95"/>
    </row>
    <row r="115" ht="15.0" customHeight="1">
      <c r="AB115" s="95"/>
      <c r="AC115" s="95"/>
      <c r="AD115" s="95"/>
      <c r="AE115" s="95"/>
      <c r="AF115" s="95"/>
      <c r="AG115" s="95"/>
      <c r="AH115" s="95"/>
      <c r="AI115" s="95"/>
      <c r="AJ115" s="95"/>
      <c r="AK115" s="95"/>
      <c r="AL115" s="95"/>
      <c r="AM115" s="95"/>
      <c r="AN115" s="95"/>
      <c r="AO115" s="95"/>
      <c r="AP115" s="95"/>
      <c r="AQ115" s="95"/>
      <c r="AR115" s="95"/>
      <c r="AS115" s="95"/>
    </row>
    <row r="116" ht="15.0" customHeight="1">
      <c r="AB116" s="95"/>
      <c r="AC116" s="95"/>
      <c r="AD116" s="95"/>
      <c r="AE116" s="95"/>
      <c r="AF116" s="95"/>
      <c r="AG116" s="95"/>
      <c r="AH116" s="95"/>
      <c r="AI116" s="95"/>
      <c r="AJ116" s="95"/>
      <c r="AK116" s="95"/>
      <c r="AL116" s="95"/>
      <c r="AM116" s="95"/>
      <c r="AN116" s="95"/>
      <c r="AO116" s="95"/>
      <c r="AP116" s="95"/>
      <c r="AQ116" s="95"/>
      <c r="AR116" s="95"/>
      <c r="AS116" s="95"/>
    </row>
    <row r="117" ht="15.0" customHeight="1">
      <c r="AB117" s="95"/>
      <c r="AC117" s="95"/>
      <c r="AD117" s="95"/>
      <c r="AE117" s="95"/>
      <c r="AF117" s="95"/>
      <c r="AG117" s="95"/>
      <c r="AH117" s="95"/>
      <c r="AI117" s="95"/>
      <c r="AJ117" s="95"/>
      <c r="AK117" s="95"/>
      <c r="AL117" s="95"/>
      <c r="AM117" s="95"/>
      <c r="AN117" s="95"/>
      <c r="AO117" s="95"/>
      <c r="AP117" s="95"/>
      <c r="AQ117" s="95"/>
      <c r="AR117" s="95"/>
      <c r="AS117" s="95"/>
    </row>
    <row r="118" ht="15.0" customHeight="1">
      <c r="AB118" s="95"/>
      <c r="AC118" s="95"/>
      <c r="AD118" s="95"/>
      <c r="AE118" s="95"/>
      <c r="AF118" s="95"/>
      <c r="AG118" s="95"/>
      <c r="AH118" s="95"/>
      <c r="AI118" s="95"/>
      <c r="AJ118" s="95"/>
      <c r="AK118" s="95"/>
      <c r="AL118" s="95"/>
      <c r="AM118" s="95"/>
      <c r="AN118" s="95"/>
      <c r="AO118" s="95"/>
      <c r="AP118" s="95"/>
      <c r="AQ118" s="95"/>
      <c r="AR118" s="95"/>
      <c r="AS118" s="95"/>
    </row>
    <row r="119" ht="15.0" customHeight="1">
      <c r="AB119" s="95"/>
      <c r="AC119" s="95"/>
      <c r="AD119" s="95"/>
      <c r="AE119" s="95"/>
      <c r="AF119" s="95"/>
      <c r="AG119" s="95"/>
      <c r="AH119" s="95"/>
      <c r="AI119" s="95"/>
      <c r="AJ119" s="95"/>
      <c r="AK119" s="95"/>
      <c r="AL119" s="95"/>
      <c r="AM119" s="95"/>
      <c r="AN119" s="95"/>
      <c r="AO119" s="95"/>
      <c r="AP119" s="95"/>
      <c r="AQ119" s="95"/>
      <c r="AR119" s="95"/>
      <c r="AS119" s="95"/>
    </row>
    <row r="120" ht="15.0" customHeight="1">
      <c r="AB120" s="95"/>
      <c r="AC120" s="95"/>
      <c r="AD120" s="95"/>
      <c r="AE120" s="95"/>
      <c r="AF120" s="95"/>
      <c r="AG120" s="95"/>
      <c r="AH120" s="95"/>
      <c r="AI120" s="95"/>
      <c r="AJ120" s="95"/>
      <c r="AK120" s="95"/>
      <c r="AL120" s="95"/>
      <c r="AM120" s="95"/>
      <c r="AN120" s="95"/>
      <c r="AO120" s="95"/>
      <c r="AP120" s="95"/>
      <c r="AQ120" s="95"/>
      <c r="AR120" s="95"/>
      <c r="AS120" s="95"/>
    </row>
    <row r="121" ht="15.0" customHeight="1">
      <c r="AB121" s="95"/>
      <c r="AC121" s="95"/>
      <c r="AD121" s="95"/>
      <c r="AE121" s="95"/>
      <c r="AF121" s="95"/>
      <c r="AG121" s="95"/>
      <c r="AH121" s="95"/>
      <c r="AI121" s="95"/>
      <c r="AJ121" s="95"/>
      <c r="AK121" s="95"/>
      <c r="AL121" s="95"/>
      <c r="AM121" s="95"/>
      <c r="AN121" s="95"/>
      <c r="AO121" s="95"/>
      <c r="AP121" s="95"/>
      <c r="AQ121" s="95"/>
      <c r="AR121" s="95"/>
      <c r="AS121" s="95"/>
    </row>
    <row r="122" ht="15.0" customHeight="1">
      <c r="AB122" s="95"/>
      <c r="AC122" s="95"/>
      <c r="AD122" s="95"/>
      <c r="AE122" s="95"/>
      <c r="AF122" s="95"/>
      <c r="AG122" s="95"/>
      <c r="AH122" s="95"/>
      <c r="AI122" s="95"/>
      <c r="AJ122" s="95"/>
      <c r="AK122" s="95"/>
      <c r="AL122" s="95"/>
      <c r="AM122" s="95"/>
      <c r="AN122" s="95"/>
      <c r="AO122" s="95"/>
      <c r="AP122" s="95"/>
      <c r="AQ122" s="95"/>
      <c r="AR122" s="95"/>
      <c r="AS122" s="95"/>
    </row>
    <row r="123" ht="15.0" customHeight="1">
      <c r="AB123" s="95"/>
      <c r="AC123" s="95"/>
      <c r="AD123" s="95"/>
      <c r="AE123" s="95"/>
      <c r="AF123" s="95"/>
      <c r="AG123" s="95"/>
      <c r="AH123" s="95"/>
      <c r="AI123" s="95"/>
      <c r="AJ123" s="95"/>
      <c r="AK123" s="95"/>
      <c r="AL123" s="95"/>
      <c r="AM123" s="95"/>
      <c r="AN123" s="95"/>
      <c r="AO123" s="95"/>
      <c r="AP123" s="95"/>
      <c r="AQ123" s="95"/>
      <c r="AR123" s="95"/>
      <c r="AS123" s="95"/>
    </row>
    <row r="124" ht="15.0" customHeight="1">
      <c r="AB124" s="95"/>
      <c r="AC124" s="95"/>
      <c r="AD124" s="95"/>
      <c r="AE124" s="95"/>
      <c r="AF124" s="95"/>
      <c r="AG124" s="95"/>
      <c r="AH124" s="95"/>
      <c r="AI124" s="95"/>
      <c r="AJ124" s="95"/>
      <c r="AK124" s="95"/>
      <c r="AL124" s="95"/>
      <c r="AM124" s="95"/>
      <c r="AN124" s="95"/>
      <c r="AO124" s="95"/>
      <c r="AP124" s="95"/>
      <c r="AQ124" s="95"/>
      <c r="AR124" s="95"/>
      <c r="AS124" s="95"/>
    </row>
    <row r="125" ht="15.0" customHeight="1">
      <c r="AB125" s="95"/>
      <c r="AC125" s="95"/>
      <c r="AD125" s="95"/>
      <c r="AE125" s="95"/>
      <c r="AF125" s="95"/>
      <c r="AG125" s="95"/>
      <c r="AH125" s="95"/>
      <c r="AI125" s="95"/>
      <c r="AJ125" s="95"/>
      <c r="AK125" s="95"/>
      <c r="AL125" s="95"/>
      <c r="AM125" s="95"/>
      <c r="AN125" s="95"/>
      <c r="AO125" s="95"/>
      <c r="AP125" s="95"/>
      <c r="AQ125" s="95"/>
      <c r="AR125" s="95"/>
      <c r="AS125" s="95"/>
    </row>
    <row r="126" ht="15.0" customHeight="1">
      <c r="AB126" s="95"/>
      <c r="AC126" s="95"/>
      <c r="AD126" s="95"/>
      <c r="AE126" s="95"/>
      <c r="AF126" s="95"/>
      <c r="AG126" s="95"/>
      <c r="AH126" s="95"/>
      <c r="AI126" s="95"/>
      <c r="AJ126" s="95"/>
      <c r="AK126" s="95"/>
      <c r="AL126" s="95"/>
      <c r="AM126" s="95"/>
      <c r="AN126" s="95"/>
      <c r="AO126" s="95"/>
      <c r="AP126" s="95"/>
      <c r="AQ126" s="95"/>
      <c r="AR126" s="95"/>
      <c r="AS126" s="95"/>
    </row>
    <row r="127" ht="15.0" customHeight="1">
      <c r="AB127" s="95"/>
      <c r="AC127" s="95"/>
      <c r="AD127" s="95"/>
      <c r="AE127" s="95"/>
      <c r="AF127" s="95"/>
      <c r="AG127" s="95"/>
      <c r="AH127" s="95"/>
      <c r="AI127" s="95"/>
      <c r="AJ127" s="95"/>
      <c r="AK127" s="95"/>
      <c r="AL127" s="95"/>
      <c r="AM127" s="95"/>
      <c r="AN127" s="95"/>
      <c r="AO127" s="95"/>
      <c r="AP127" s="95"/>
      <c r="AQ127" s="95"/>
      <c r="AR127" s="95"/>
      <c r="AS127" s="95"/>
    </row>
    <row r="128" ht="15.0" customHeight="1">
      <c r="AB128" s="95"/>
      <c r="AC128" s="95"/>
      <c r="AD128" s="95"/>
      <c r="AE128" s="95"/>
      <c r="AF128" s="95"/>
      <c r="AG128" s="95"/>
      <c r="AH128" s="95"/>
      <c r="AI128" s="95"/>
      <c r="AJ128" s="95"/>
      <c r="AK128" s="95"/>
      <c r="AL128" s="95"/>
      <c r="AM128" s="95"/>
      <c r="AN128" s="95"/>
      <c r="AO128" s="95"/>
      <c r="AP128" s="95"/>
      <c r="AQ128" s="95"/>
      <c r="AR128" s="95"/>
      <c r="AS128" s="95"/>
    </row>
    <row r="129" ht="15.0" customHeight="1">
      <c r="AB129" s="95"/>
      <c r="AC129" s="95"/>
      <c r="AD129" s="95"/>
      <c r="AE129" s="95"/>
      <c r="AF129" s="95"/>
      <c r="AG129" s="95"/>
      <c r="AH129" s="95"/>
      <c r="AI129" s="95"/>
      <c r="AJ129" s="95"/>
      <c r="AK129" s="95"/>
      <c r="AL129" s="95"/>
      <c r="AM129" s="95"/>
      <c r="AN129" s="95"/>
      <c r="AO129" s="95"/>
      <c r="AP129" s="95"/>
      <c r="AQ129" s="95"/>
      <c r="AR129" s="95"/>
      <c r="AS129" s="95"/>
    </row>
    <row r="130" ht="15.0" customHeight="1">
      <c r="AB130" s="95"/>
      <c r="AC130" s="95"/>
      <c r="AD130" s="95"/>
      <c r="AE130" s="95"/>
      <c r="AF130" s="95"/>
      <c r="AG130" s="95"/>
      <c r="AH130" s="95"/>
      <c r="AI130" s="95"/>
      <c r="AJ130" s="95"/>
      <c r="AK130" s="95"/>
      <c r="AL130" s="95"/>
      <c r="AM130" s="95"/>
      <c r="AN130" s="95"/>
      <c r="AO130" s="95"/>
      <c r="AP130" s="95"/>
      <c r="AQ130" s="95"/>
      <c r="AR130" s="95"/>
      <c r="AS130" s="95"/>
    </row>
    <row r="131" ht="15.0" customHeight="1">
      <c r="AB131" s="95"/>
      <c r="AC131" s="95"/>
      <c r="AD131" s="95"/>
      <c r="AE131" s="95"/>
      <c r="AF131" s="95"/>
      <c r="AG131" s="95"/>
      <c r="AH131" s="95"/>
      <c r="AI131" s="95"/>
      <c r="AJ131" s="95"/>
      <c r="AK131" s="95"/>
      <c r="AL131" s="95"/>
      <c r="AM131" s="95"/>
      <c r="AN131" s="95"/>
      <c r="AO131" s="95"/>
      <c r="AP131" s="95"/>
      <c r="AQ131" s="95"/>
      <c r="AR131" s="95"/>
      <c r="AS131" s="95"/>
    </row>
    <row r="132" ht="15.0" customHeight="1">
      <c r="AB132" s="95"/>
      <c r="AC132" s="95"/>
      <c r="AD132" s="95"/>
      <c r="AE132" s="95"/>
      <c r="AF132" s="95"/>
      <c r="AG132" s="95"/>
      <c r="AH132" s="95"/>
      <c r="AI132" s="95"/>
      <c r="AJ132" s="95"/>
      <c r="AK132" s="95"/>
      <c r="AL132" s="95"/>
      <c r="AM132" s="95"/>
      <c r="AN132" s="95"/>
      <c r="AO132" s="95"/>
      <c r="AP132" s="95"/>
      <c r="AQ132" s="95"/>
      <c r="AR132" s="95"/>
      <c r="AS132" s="95"/>
    </row>
    <row r="133" ht="15.0" customHeight="1">
      <c r="AB133" s="95"/>
      <c r="AC133" s="95"/>
      <c r="AD133" s="95"/>
      <c r="AE133" s="95"/>
      <c r="AF133" s="95"/>
      <c r="AG133" s="95"/>
      <c r="AH133" s="95"/>
      <c r="AI133" s="95"/>
      <c r="AJ133" s="95"/>
      <c r="AK133" s="95"/>
      <c r="AL133" s="95"/>
      <c r="AM133" s="95"/>
      <c r="AN133" s="95"/>
      <c r="AO133" s="95"/>
      <c r="AP133" s="95"/>
      <c r="AQ133" s="95"/>
      <c r="AR133" s="95"/>
      <c r="AS133" s="95"/>
    </row>
    <row r="134" ht="15.0" customHeight="1">
      <c r="AB134" s="95"/>
      <c r="AC134" s="95"/>
      <c r="AD134" s="95"/>
      <c r="AE134" s="95"/>
      <c r="AF134" s="95"/>
      <c r="AG134" s="95"/>
      <c r="AH134" s="95"/>
      <c r="AI134" s="95"/>
      <c r="AJ134" s="95"/>
      <c r="AK134" s="95"/>
      <c r="AL134" s="95"/>
      <c r="AM134" s="95"/>
      <c r="AN134" s="95"/>
      <c r="AO134" s="95"/>
      <c r="AP134" s="95"/>
      <c r="AQ134" s="95"/>
      <c r="AR134" s="95"/>
      <c r="AS134" s="95"/>
    </row>
    <row r="135" ht="15.0" customHeight="1">
      <c r="AB135" s="95"/>
      <c r="AC135" s="95"/>
      <c r="AD135" s="95"/>
      <c r="AE135" s="95"/>
      <c r="AF135" s="95"/>
      <c r="AG135" s="95"/>
      <c r="AH135" s="95"/>
      <c r="AI135" s="95"/>
      <c r="AJ135" s="95"/>
      <c r="AK135" s="95"/>
      <c r="AL135" s="95"/>
      <c r="AM135" s="95"/>
      <c r="AN135" s="95"/>
      <c r="AO135" s="95"/>
      <c r="AP135" s="95"/>
      <c r="AQ135" s="95"/>
      <c r="AR135" s="95"/>
      <c r="AS135" s="95"/>
    </row>
    <row r="136" ht="15.0" customHeight="1">
      <c r="AB136" s="95"/>
      <c r="AC136" s="95"/>
      <c r="AD136" s="95"/>
      <c r="AE136" s="95"/>
      <c r="AF136" s="95"/>
      <c r="AG136" s="95"/>
      <c r="AH136" s="95"/>
      <c r="AI136" s="95"/>
      <c r="AJ136" s="95"/>
      <c r="AK136" s="95"/>
      <c r="AL136" s="95"/>
      <c r="AM136" s="95"/>
      <c r="AN136" s="95"/>
      <c r="AO136" s="95"/>
      <c r="AP136" s="95"/>
      <c r="AQ136" s="95"/>
      <c r="AR136" s="95"/>
      <c r="AS136" s="95"/>
    </row>
    <row r="137" ht="15.0" customHeight="1">
      <c r="AB137" s="95"/>
      <c r="AC137" s="95"/>
      <c r="AD137" s="95"/>
      <c r="AE137" s="95"/>
      <c r="AF137" s="95"/>
      <c r="AG137" s="95"/>
      <c r="AH137" s="95"/>
      <c r="AI137" s="95"/>
      <c r="AJ137" s="95"/>
      <c r="AK137" s="95"/>
      <c r="AL137" s="95"/>
      <c r="AM137" s="95"/>
      <c r="AN137" s="95"/>
      <c r="AO137" s="95"/>
      <c r="AP137" s="95"/>
      <c r="AQ137" s="95"/>
      <c r="AR137" s="95"/>
      <c r="AS137" s="95"/>
    </row>
    <row r="138" ht="15.0" customHeight="1">
      <c r="AB138" s="95"/>
      <c r="AC138" s="95"/>
      <c r="AD138" s="95"/>
      <c r="AE138" s="95"/>
      <c r="AF138" s="95"/>
      <c r="AG138" s="95"/>
      <c r="AH138" s="95"/>
      <c r="AI138" s="95"/>
      <c r="AJ138" s="95"/>
      <c r="AK138" s="95"/>
      <c r="AL138" s="95"/>
      <c r="AM138" s="95"/>
      <c r="AN138" s="95"/>
      <c r="AO138" s="95"/>
      <c r="AP138" s="95"/>
      <c r="AQ138" s="95"/>
      <c r="AR138" s="95"/>
      <c r="AS138" s="95"/>
    </row>
    <row r="139" ht="15.0" customHeight="1">
      <c r="AB139" s="95"/>
      <c r="AC139" s="95"/>
      <c r="AD139" s="95"/>
      <c r="AE139" s="95"/>
      <c r="AF139" s="95"/>
      <c r="AG139" s="95"/>
      <c r="AH139" s="95"/>
      <c r="AI139" s="95"/>
      <c r="AJ139" s="95"/>
      <c r="AK139" s="95"/>
      <c r="AL139" s="95"/>
      <c r="AM139" s="95"/>
      <c r="AN139" s="95"/>
      <c r="AO139" s="95"/>
      <c r="AP139" s="95"/>
      <c r="AQ139" s="95"/>
      <c r="AR139" s="95"/>
      <c r="AS139" s="95"/>
    </row>
    <row r="140" ht="15.0" customHeight="1">
      <c r="AB140" s="95"/>
      <c r="AC140" s="95"/>
      <c r="AD140" s="95"/>
      <c r="AE140" s="95"/>
      <c r="AF140" s="95"/>
      <c r="AG140" s="95"/>
      <c r="AH140" s="95"/>
      <c r="AI140" s="95"/>
      <c r="AJ140" s="95"/>
      <c r="AK140" s="95"/>
      <c r="AL140" s="95"/>
      <c r="AM140" s="95"/>
      <c r="AN140" s="95"/>
      <c r="AO140" s="95"/>
      <c r="AP140" s="95"/>
      <c r="AQ140" s="95"/>
      <c r="AR140" s="95"/>
      <c r="AS140" s="95"/>
    </row>
    <row r="141" ht="15.0" customHeight="1">
      <c r="AB141" s="95"/>
      <c r="AC141" s="95"/>
      <c r="AD141" s="95"/>
      <c r="AE141" s="95"/>
      <c r="AF141" s="95"/>
      <c r="AG141" s="95"/>
      <c r="AH141" s="95"/>
      <c r="AI141" s="95"/>
      <c r="AJ141" s="95"/>
      <c r="AK141" s="95"/>
      <c r="AL141" s="95"/>
      <c r="AM141" s="95"/>
      <c r="AN141" s="95"/>
      <c r="AO141" s="95"/>
      <c r="AP141" s="95"/>
      <c r="AQ141" s="95"/>
      <c r="AR141" s="95"/>
      <c r="AS141" s="95"/>
    </row>
    <row r="142" ht="15.0" customHeight="1">
      <c r="AB142" s="95"/>
      <c r="AC142" s="95"/>
      <c r="AD142" s="95"/>
      <c r="AE142" s="95"/>
      <c r="AF142" s="95"/>
      <c r="AG142" s="95"/>
      <c r="AH142" s="95"/>
      <c r="AI142" s="95"/>
      <c r="AJ142" s="95"/>
      <c r="AK142" s="95"/>
      <c r="AL142" s="95"/>
      <c r="AM142" s="95"/>
      <c r="AN142" s="95"/>
      <c r="AO142" s="95"/>
      <c r="AP142" s="95"/>
      <c r="AQ142" s="95"/>
      <c r="AR142" s="95"/>
      <c r="AS142" s="95"/>
    </row>
    <row r="143" ht="15.0" customHeight="1">
      <c r="AB143" s="95"/>
      <c r="AC143" s="95"/>
      <c r="AD143" s="95"/>
      <c r="AE143" s="95"/>
      <c r="AF143" s="95"/>
      <c r="AG143" s="95"/>
      <c r="AH143" s="95"/>
      <c r="AI143" s="95"/>
      <c r="AJ143" s="95"/>
      <c r="AK143" s="95"/>
      <c r="AL143" s="95"/>
      <c r="AM143" s="95"/>
      <c r="AN143" s="95"/>
      <c r="AO143" s="95"/>
      <c r="AP143" s="95"/>
      <c r="AQ143" s="95"/>
      <c r="AR143" s="95"/>
      <c r="AS143" s="95"/>
    </row>
    <row r="144" ht="15.0" customHeight="1">
      <c r="AB144" s="95"/>
      <c r="AC144" s="95"/>
      <c r="AD144" s="95"/>
      <c r="AE144" s="95"/>
      <c r="AF144" s="95"/>
      <c r="AG144" s="95"/>
      <c r="AH144" s="95"/>
      <c r="AI144" s="95"/>
      <c r="AJ144" s="95"/>
      <c r="AK144" s="95"/>
      <c r="AL144" s="95"/>
      <c r="AM144" s="95"/>
      <c r="AN144" s="95"/>
      <c r="AO144" s="95"/>
      <c r="AP144" s="95"/>
      <c r="AQ144" s="95"/>
      <c r="AR144" s="95"/>
      <c r="AS144" s="95"/>
    </row>
    <row r="145" ht="15.0" customHeight="1">
      <c r="AB145" s="95"/>
      <c r="AC145" s="95"/>
      <c r="AD145" s="95"/>
      <c r="AE145" s="95"/>
      <c r="AF145" s="95"/>
      <c r="AG145" s="95"/>
      <c r="AH145" s="95"/>
      <c r="AI145" s="95"/>
      <c r="AJ145" s="95"/>
      <c r="AK145" s="95"/>
      <c r="AL145" s="95"/>
      <c r="AM145" s="95"/>
      <c r="AN145" s="95"/>
      <c r="AO145" s="95"/>
      <c r="AP145" s="95"/>
      <c r="AQ145" s="95"/>
      <c r="AR145" s="95"/>
      <c r="AS145" s="95"/>
    </row>
    <row r="146" ht="15.0" customHeight="1">
      <c r="AB146" s="95"/>
      <c r="AC146" s="95"/>
      <c r="AD146" s="95"/>
      <c r="AE146" s="95"/>
      <c r="AF146" s="95"/>
      <c r="AG146" s="95"/>
      <c r="AH146" s="95"/>
      <c r="AI146" s="95"/>
      <c r="AJ146" s="95"/>
      <c r="AK146" s="95"/>
      <c r="AL146" s="95"/>
      <c r="AM146" s="95"/>
      <c r="AN146" s="95"/>
      <c r="AO146" s="95"/>
      <c r="AP146" s="95"/>
      <c r="AQ146" s="95"/>
      <c r="AR146" s="95"/>
      <c r="AS146" s="95"/>
    </row>
    <row r="147" ht="15.0" customHeight="1">
      <c r="AB147" s="95"/>
      <c r="AC147" s="95"/>
      <c r="AD147" s="95"/>
      <c r="AE147" s="95"/>
      <c r="AF147" s="95"/>
      <c r="AG147" s="95"/>
      <c r="AH147" s="95"/>
      <c r="AI147" s="95"/>
      <c r="AJ147" s="95"/>
      <c r="AK147" s="95"/>
      <c r="AL147" s="95"/>
      <c r="AM147" s="95"/>
      <c r="AN147" s="95"/>
      <c r="AO147" s="95"/>
      <c r="AP147" s="95"/>
      <c r="AQ147" s="95"/>
      <c r="AR147" s="95"/>
      <c r="AS147" s="95"/>
    </row>
    <row r="148" ht="15.0" customHeight="1">
      <c r="AB148" s="95"/>
      <c r="AC148" s="95"/>
      <c r="AD148" s="95"/>
      <c r="AE148" s="95"/>
      <c r="AF148" s="95"/>
      <c r="AG148" s="95"/>
      <c r="AH148" s="95"/>
      <c r="AI148" s="95"/>
      <c r="AJ148" s="95"/>
      <c r="AK148" s="95"/>
      <c r="AL148" s="95"/>
      <c r="AM148" s="95"/>
      <c r="AN148" s="95"/>
      <c r="AO148" s="95"/>
      <c r="AP148" s="95"/>
      <c r="AQ148" s="95"/>
      <c r="AR148" s="95"/>
      <c r="AS148" s="95"/>
    </row>
    <row r="149" ht="15.0" customHeight="1">
      <c r="AB149" s="95"/>
      <c r="AC149" s="95"/>
      <c r="AD149" s="95"/>
      <c r="AE149" s="95"/>
      <c r="AF149" s="95"/>
      <c r="AG149" s="95"/>
      <c r="AH149" s="95"/>
      <c r="AI149" s="95"/>
      <c r="AJ149" s="95"/>
      <c r="AK149" s="95"/>
      <c r="AL149" s="95"/>
      <c r="AM149" s="95"/>
      <c r="AN149" s="95"/>
      <c r="AO149" s="95"/>
      <c r="AP149" s="95"/>
      <c r="AQ149" s="95"/>
      <c r="AR149" s="95"/>
      <c r="AS149" s="95"/>
    </row>
    <row r="150" ht="15.0" customHeight="1">
      <c r="AB150" s="95"/>
      <c r="AC150" s="95"/>
      <c r="AD150" s="95"/>
      <c r="AE150" s="95"/>
      <c r="AF150" s="95"/>
      <c r="AG150" s="95"/>
      <c r="AH150" s="95"/>
      <c r="AI150" s="95"/>
      <c r="AJ150" s="95"/>
      <c r="AK150" s="95"/>
      <c r="AL150" s="95"/>
      <c r="AM150" s="95"/>
      <c r="AN150" s="95"/>
      <c r="AO150" s="95"/>
      <c r="AP150" s="95"/>
      <c r="AQ150" s="95"/>
      <c r="AR150" s="95"/>
      <c r="AS150" s="95"/>
    </row>
    <row r="151" ht="15.0" customHeight="1">
      <c r="AB151" s="95"/>
      <c r="AC151" s="95"/>
      <c r="AD151" s="95"/>
      <c r="AE151" s="95"/>
      <c r="AF151" s="95"/>
      <c r="AG151" s="95"/>
      <c r="AH151" s="95"/>
      <c r="AI151" s="95"/>
      <c r="AJ151" s="95"/>
      <c r="AK151" s="95"/>
      <c r="AL151" s="95"/>
      <c r="AM151" s="95"/>
      <c r="AN151" s="95"/>
      <c r="AO151" s="95"/>
      <c r="AP151" s="95"/>
      <c r="AQ151" s="95"/>
      <c r="AR151" s="95"/>
      <c r="AS151" s="95"/>
    </row>
    <row r="152" ht="15.0" customHeight="1">
      <c r="AB152" s="95"/>
      <c r="AC152" s="95"/>
      <c r="AD152" s="95"/>
      <c r="AE152" s="95"/>
      <c r="AF152" s="95"/>
      <c r="AG152" s="95"/>
      <c r="AH152" s="95"/>
      <c r="AI152" s="95"/>
      <c r="AJ152" s="95"/>
      <c r="AK152" s="95"/>
      <c r="AL152" s="95"/>
      <c r="AM152" s="95"/>
      <c r="AN152" s="95"/>
      <c r="AO152" s="95"/>
      <c r="AP152" s="95"/>
      <c r="AQ152" s="95"/>
      <c r="AR152" s="95"/>
      <c r="AS152" s="95"/>
    </row>
    <row r="153" ht="15.0" customHeight="1">
      <c r="AB153" s="95"/>
      <c r="AC153" s="95"/>
      <c r="AD153" s="95"/>
      <c r="AE153" s="95"/>
      <c r="AF153" s="95"/>
      <c r="AG153" s="95"/>
      <c r="AH153" s="95"/>
      <c r="AI153" s="95"/>
      <c r="AJ153" s="95"/>
      <c r="AK153" s="95"/>
      <c r="AL153" s="95"/>
      <c r="AM153" s="95"/>
      <c r="AN153" s="95"/>
      <c r="AO153" s="95"/>
      <c r="AP153" s="95"/>
      <c r="AQ153" s="95"/>
      <c r="AR153" s="95"/>
      <c r="AS153" s="95"/>
    </row>
    <row r="154" ht="15.0" customHeight="1">
      <c r="AB154" s="95"/>
      <c r="AC154" s="95"/>
      <c r="AD154" s="95"/>
      <c r="AE154" s="95"/>
      <c r="AF154" s="95"/>
      <c r="AG154" s="95"/>
      <c r="AH154" s="95"/>
      <c r="AI154" s="95"/>
      <c r="AJ154" s="95"/>
      <c r="AK154" s="95"/>
      <c r="AL154" s="95"/>
      <c r="AM154" s="95"/>
      <c r="AN154" s="95"/>
      <c r="AO154" s="95"/>
      <c r="AP154" s="95"/>
      <c r="AQ154" s="95"/>
      <c r="AR154" s="95"/>
      <c r="AS154" s="95"/>
    </row>
    <row r="155" ht="15.0" customHeight="1">
      <c r="AB155" s="95"/>
      <c r="AC155" s="95"/>
      <c r="AD155" s="95"/>
      <c r="AE155" s="95"/>
      <c r="AF155" s="95"/>
      <c r="AG155" s="95"/>
      <c r="AH155" s="95"/>
      <c r="AI155" s="95"/>
      <c r="AJ155" s="95"/>
      <c r="AK155" s="95"/>
      <c r="AL155" s="95"/>
      <c r="AM155" s="95"/>
      <c r="AN155" s="95"/>
      <c r="AO155" s="95"/>
      <c r="AP155" s="95"/>
      <c r="AQ155" s="95"/>
      <c r="AR155" s="95"/>
      <c r="AS155" s="95"/>
    </row>
    <row r="156" ht="15.0" customHeight="1">
      <c r="AB156" s="95"/>
      <c r="AC156" s="95"/>
      <c r="AD156" s="95"/>
      <c r="AE156" s="95"/>
      <c r="AF156" s="95"/>
      <c r="AG156" s="95"/>
      <c r="AH156" s="95"/>
      <c r="AI156" s="95"/>
      <c r="AJ156" s="95"/>
      <c r="AK156" s="95"/>
      <c r="AL156" s="95"/>
      <c r="AM156" s="95"/>
      <c r="AN156" s="95"/>
      <c r="AO156" s="95"/>
      <c r="AP156" s="95"/>
      <c r="AQ156" s="95"/>
      <c r="AR156" s="95"/>
      <c r="AS156" s="95"/>
    </row>
    <row r="157" ht="15.0" customHeight="1">
      <c r="AB157" s="95"/>
      <c r="AC157" s="95"/>
      <c r="AD157" s="95"/>
      <c r="AE157" s="95"/>
      <c r="AF157" s="95"/>
      <c r="AG157" s="95"/>
      <c r="AH157" s="95"/>
      <c r="AI157" s="95"/>
      <c r="AJ157" s="95"/>
      <c r="AK157" s="95"/>
      <c r="AL157" s="95"/>
      <c r="AM157" s="95"/>
      <c r="AN157" s="95"/>
      <c r="AO157" s="95"/>
      <c r="AP157" s="95"/>
      <c r="AQ157" s="95"/>
      <c r="AR157" s="95"/>
      <c r="AS157" s="95"/>
    </row>
    <row r="158" ht="15.0" customHeight="1">
      <c r="AB158" s="95"/>
      <c r="AC158" s="95"/>
      <c r="AD158" s="95"/>
      <c r="AE158" s="95"/>
      <c r="AF158" s="95"/>
      <c r="AG158" s="95"/>
      <c r="AH158" s="95"/>
      <c r="AI158" s="95"/>
      <c r="AJ158" s="95"/>
      <c r="AK158" s="95"/>
      <c r="AL158" s="95"/>
      <c r="AM158" s="95"/>
      <c r="AN158" s="95"/>
      <c r="AO158" s="95"/>
      <c r="AP158" s="95"/>
      <c r="AQ158" s="95"/>
      <c r="AR158" s="95"/>
      <c r="AS158" s="95"/>
    </row>
    <row r="159" ht="15.0" customHeight="1">
      <c r="AB159" s="95"/>
      <c r="AC159" s="95"/>
      <c r="AD159" s="95"/>
      <c r="AE159" s="95"/>
      <c r="AF159" s="95"/>
      <c r="AG159" s="95"/>
      <c r="AH159" s="95"/>
      <c r="AI159" s="95"/>
      <c r="AJ159" s="95"/>
      <c r="AK159" s="95"/>
      <c r="AL159" s="95"/>
      <c r="AM159" s="95"/>
      <c r="AN159" s="95"/>
      <c r="AO159" s="95"/>
      <c r="AP159" s="95"/>
      <c r="AQ159" s="95"/>
      <c r="AR159" s="95"/>
      <c r="AS159" s="95"/>
    </row>
    <row r="160" ht="15.0" customHeight="1">
      <c r="AB160" s="95"/>
      <c r="AC160" s="95"/>
      <c r="AD160" s="95"/>
      <c r="AE160" s="95"/>
      <c r="AF160" s="95"/>
      <c r="AG160" s="95"/>
      <c r="AH160" s="95"/>
      <c r="AI160" s="95"/>
      <c r="AJ160" s="95"/>
      <c r="AK160" s="95"/>
      <c r="AL160" s="95"/>
      <c r="AM160" s="95"/>
      <c r="AN160" s="95"/>
      <c r="AO160" s="95"/>
      <c r="AP160" s="95"/>
      <c r="AQ160" s="95"/>
      <c r="AR160" s="95"/>
      <c r="AS160" s="95"/>
    </row>
    <row r="161" ht="15.0" customHeight="1">
      <c r="AB161" s="95"/>
      <c r="AC161" s="95"/>
      <c r="AD161" s="95"/>
      <c r="AE161" s="95"/>
      <c r="AF161" s="95"/>
      <c r="AG161" s="95"/>
      <c r="AH161" s="95"/>
      <c r="AI161" s="95"/>
      <c r="AJ161" s="95"/>
      <c r="AK161" s="95"/>
      <c r="AL161" s="95"/>
      <c r="AM161" s="95"/>
      <c r="AN161" s="95"/>
      <c r="AO161" s="95"/>
      <c r="AP161" s="95"/>
      <c r="AQ161" s="95"/>
      <c r="AR161" s="95"/>
      <c r="AS161" s="95"/>
    </row>
    <row r="162" ht="15.0" customHeight="1">
      <c r="AB162" s="95"/>
      <c r="AC162" s="95"/>
      <c r="AD162" s="95"/>
      <c r="AE162" s="95"/>
      <c r="AF162" s="95"/>
      <c r="AG162" s="95"/>
      <c r="AH162" s="95"/>
      <c r="AI162" s="95"/>
      <c r="AJ162" s="95"/>
      <c r="AK162" s="95"/>
      <c r="AL162" s="95"/>
      <c r="AM162" s="95"/>
      <c r="AN162" s="95"/>
      <c r="AO162" s="95"/>
      <c r="AP162" s="95"/>
      <c r="AQ162" s="95"/>
      <c r="AR162" s="95"/>
      <c r="AS162" s="95"/>
    </row>
    <row r="163" ht="15.0" customHeight="1">
      <c r="AB163" s="95"/>
      <c r="AC163" s="95"/>
      <c r="AD163" s="95"/>
      <c r="AE163" s="95"/>
      <c r="AF163" s="95"/>
      <c r="AG163" s="95"/>
      <c r="AH163" s="95"/>
      <c r="AI163" s="95"/>
      <c r="AJ163" s="95"/>
      <c r="AK163" s="95"/>
      <c r="AL163" s="95"/>
      <c r="AM163" s="95"/>
      <c r="AN163" s="95"/>
      <c r="AO163" s="95"/>
      <c r="AP163" s="95"/>
      <c r="AQ163" s="95"/>
      <c r="AR163" s="95"/>
      <c r="AS163" s="95"/>
    </row>
    <row r="164" ht="15.0" customHeight="1">
      <c r="AB164" s="95"/>
      <c r="AC164" s="95"/>
      <c r="AD164" s="95"/>
      <c r="AE164" s="95"/>
      <c r="AF164" s="95"/>
      <c r="AG164" s="95"/>
      <c r="AH164" s="95"/>
      <c r="AI164" s="95"/>
      <c r="AJ164" s="95"/>
      <c r="AK164" s="95"/>
      <c r="AL164" s="95"/>
      <c r="AM164" s="95"/>
      <c r="AN164" s="95"/>
      <c r="AO164" s="95"/>
      <c r="AP164" s="95"/>
      <c r="AQ164" s="95"/>
      <c r="AR164" s="95"/>
      <c r="AS164" s="95"/>
    </row>
    <row r="165" ht="15.0" customHeight="1">
      <c r="AB165" s="95"/>
      <c r="AC165" s="95"/>
      <c r="AD165" s="95"/>
      <c r="AE165" s="95"/>
      <c r="AF165" s="95"/>
      <c r="AG165" s="95"/>
      <c r="AH165" s="95"/>
      <c r="AI165" s="95"/>
      <c r="AJ165" s="95"/>
      <c r="AK165" s="95"/>
      <c r="AL165" s="95"/>
      <c r="AM165" s="95"/>
      <c r="AN165" s="95"/>
      <c r="AO165" s="95"/>
      <c r="AP165" s="95"/>
      <c r="AQ165" s="95"/>
      <c r="AR165" s="95"/>
      <c r="AS165" s="95"/>
    </row>
    <row r="166" ht="15.0" customHeight="1">
      <c r="AB166" s="95"/>
      <c r="AC166" s="95"/>
      <c r="AD166" s="95"/>
      <c r="AE166" s="95"/>
      <c r="AF166" s="95"/>
      <c r="AG166" s="95"/>
      <c r="AH166" s="95"/>
      <c r="AI166" s="95"/>
      <c r="AJ166" s="95"/>
      <c r="AK166" s="95"/>
      <c r="AL166" s="95"/>
      <c r="AM166" s="95"/>
      <c r="AN166" s="95"/>
      <c r="AO166" s="95"/>
      <c r="AP166" s="95"/>
      <c r="AQ166" s="95"/>
      <c r="AR166" s="95"/>
      <c r="AS166" s="95"/>
    </row>
    <row r="167" ht="15.0" customHeight="1">
      <c r="AB167" s="95"/>
      <c r="AC167" s="95"/>
      <c r="AD167" s="95"/>
      <c r="AE167" s="95"/>
      <c r="AF167" s="95"/>
      <c r="AG167" s="95"/>
      <c r="AH167" s="95"/>
      <c r="AI167" s="95"/>
      <c r="AJ167" s="95"/>
      <c r="AK167" s="95"/>
      <c r="AL167" s="95"/>
      <c r="AM167" s="95"/>
      <c r="AN167" s="95"/>
      <c r="AO167" s="95"/>
      <c r="AP167" s="95"/>
      <c r="AQ167" s="95"/>
      <c r="AR167" s="95"/>
      <c r="AS167" s="95"/>
    </row>
    <row r="168" ht="15.0" customHeight="1">
      <c r="AB168" s="95"/>
      <c r="AC168" s="95"/>
      <c r="AD168" s="95"/>
      <c r="AE168" s="95"/>
      <c r="AF168" s="95"/>
      <c r="AG168" s="95"/>
      <c r="AH168" s="95"/>
      <c r="AI168" s="95"/>
      <c r="AJ168" s="95"/>
      <c r="AK168" s="95"/>
      <c r="AL168" s="95"/>
      <c r="AM168" s="95"/>
      <c r="AN168" s="95"/>
      <c r="AO168" s="95"/>
      <c r="AP168" s="95"/>
      <c r="AQ168" s="95"/>
      <c r="AR168" s="95"/>
      <c r="AS168" s="95"/>
    </row>
    <row r="169" ht="15.0" customHeight="1">
      <c r="AB169" s="95"/>
      <c r="AC169" s="95"/>
      <c r="AD169" s="95"/>
      <c r="AE169" s="95"/>
      <c r="AF169" s="95"/>
      <c r="AG169" s="95"/>
      <c r="AH169" s="95"/>
      <c r="AI169" s="95"/>
      <c r="AJ169" s="95"/>
      <c r="AK169" s="95"/>
      <c r="AL169" s="95"/>
      <c r="AM169" s="95"/>
      <c r="AN169" s="95"/>
      <c r="AO169" s="95"/>
      <c r="AP169" s="95"/>
      <c r="AQ169" s="95"/>
      <c r="AR169" s="95"/>
      <c r="AS169" s="95"/>
    </row>
    <row r="170" ht="15.0" customHeight="1">
      <c r="AB170" s="95"/>
      <c r="AC170" s="95"/>
      <c r="AD170" s="95"/>
      <c r="AE170" s="95"/>
      <c r="AF170" s="95"/>
      <c r="AG170" s="95"/>
      <c r="AH170" s="95"/>
      <c r="AI170" s="95"/>
      <c r="AJ170" s="95"/>
      <c r="AK170" s="95"/>
      <c r="AL170" s="95"/>
      <c r="AM170" s="95"/>
      <c r="AN170" s="95"/>
      <c r="AO170" s="95"/>
      <c r="AP170" s="95"/>
      <c r="AQ170" s="95"/>
      <c r="AR170" s="95"/>
      <c r="AS170" s="95"/>
    </row>
    <row r="171" ht="15.0" customHeight="1">
      <c r="AB171" s="95"/>
      <c r="AC171" s="95"/>
      <c r="AD171" s="95"/>
      <c r="AE171" s="95"/>
      <c r="AF171" s="95"/>
      <c r="AG171" s="95"/>
      <c r="AH171" s="95"/>
      <c r="AI171" s="95"/>
      <c r="AJ171" s="95"/>
      <c r="AK171" s="95"/>
      <c r="AL171" s="95"/>
      <c r="AM171" s="95"/>
      <c r="AN171" s="95"/>
      <c r="AO171" s="95"/>
      <c r="AP171" s="95"/>
      <c r="AQ171" s="95"/>
      <c r="AR171" s="95"/>
      <c r="AS171" s="95"/>
    </row>
    <row r="172" ht="15.0" customHeight="1">
      <c r="AB172" s="95"/>
      <c r="AC172" s="95"/>
      <c r="AD172" s="95"/>
      <c r="AE172" s="95"/>
      <c r="AF172" s="95"/>
      <c r="AG172" s="95"/>
      <c r="AH172" s="95"/>
      <c r="AI172" s="95"/>
      <c r="AJ172" s="95"/>
      <c r="AK172" s="95"/>
      <c r="AL172" s="95"/>
      <c r="AM172" s="95"/>
      <c r="AN172" s="95"/>
      <c r="AO172" s="95"/>
      <c r="AP172" s="95"/>
      <c r="AQ172" s="95"/>
      <c r="AR172" s="95"/>
      <c r="AS172" s="95"/>
    </row>
    <row r="173" ht="15.0" customHeight="1">
      <c r="AB173" s="95"/>
      <c r="AC173" s="95"/>
      <c r="AD173" s="95"/>
      <c r="AE173" s="95"/>
      <c r="AF173" s="95"/>
      <c r="AG173" s="95"/>
      <c r="AH173" s="95"/>
      <c r="AI173" s="95"/>
      <c r="AJ173" s="95"/>
      <c r="AK173" s="95"/>
      <c r="AL173" s="95"/>
      <c r="AM173" s="95"/>
      <c r="AN173" s="95"/>
      <c r="AO173" s="95"/>
      <c r="AP173" s="95"/>
      <c r="AQ173" s="95"/>
      <c r="AR173" s="95"/>
      <c r="AS173" s="95"/>
    </row>
    <row r="174" ht="15.0" customHeight="1">
      <c r="AB174" s="95"/>
      <c r="AC174" s="95"/>
      <c r="AD174" s="95"/>
      <c r="AE174" s="95"/>
      <c r="AF174" s="95"/>
      <c r="AG174" s="95"/>
      <c r="AH174" s="95"/>
      <c r="AI174" s="95"/>
      <c r="AJ174" s="95"/>
      <c r="AK174" s="95"/>
      <c r="AL174" s="95"/>
      <c r="AM174" s="95"/>
      <c r="AN174" s="95"/>
      <c r="AO174" s="95"/>
      <c r="AP174" s="95"/>
      <c r="AQ174" s="95"/>
      <c r="AR174" s="95"/>
      <c r="AS174" s="95"/>
    </row>
    <row r="175" ht="15.0" customHeight="1">
      <c r="AB175" s="95"/>
      <c r="AC175" s="95"/>
      <c r="AD175" s="95"/>
      <c r="AE175" s="95"/>
      <c r="AF175" s="95"/>
      <c r="AG175" s="95"/>
      <c r="AH175" s="95"/>
      <c r="AI175" s="95"/>
      <c r="AJ175" s="95"/>
      <c r="AK175" s="95"/>
      <c r="AL175" s="95"/>
      <c r="AM175" s="95"/>
      <c r="AN175" s="95"/>
      <c r="AO175" s="95"/>
      <c r="AP175" s="95"/>
      <c r="AQ175" s="95"/>
      <c r="AR175" s="95"/>
      <c r="AS175" s="95"/>
    </row>
    <row r="176" ht="15.0" customHeight="1">
      <c r="AB176" s="95"/>
      <c r="AC176" s="95"/>
      <c r="AD176" s="95"/>
      <c r="AE176" s="95"/>
      <c r="AF176" s="95"/>
      <c r="AG176" s="95"/>
      <c r="AH176" s="95"/>
      <c r="AI176" s="95"/>
      <c r="AJ176" s="95"/>
      <c r="AK176" s="95"/>
      <c r="AL176" s="95"/>
      <c r="AM176" s="95"/>
      <c r="AN176" s="95"/>
      <c r="AO176" s="95"/>
      <c r="AP176" s="95"/>
      <c r="AQ176" s="95"/>
      <c r="AR176" s="95"/>
      <c r="AS176" s="95"/>
    </row>
    <row r="177" ht="15.0" customHeight="1">
      <c r="AB177" s="95"/>
      <c r="AC177" s="95"/>
      <c r="AD177" s="95"/>
      <c r="AE177" s="95"/>
      <c r="AF177" s="95"/>
      <c r="AG177" s="95"/>
      <c r="AH177" s="95"/>
      <c r="AI177" s="95"/>
      <c r="AJ177" s="95"/>
      <c r="AK177" s="95"/>
      <c r="AL177" s="95"/>
      <c r="AM177" s="95"/>
      <c r="AN177" s="95"/>
      <c r="AO177" s="95"/>
      <c r="AP177" s="95"/>
      <c r="AQ177" s="95"/>
      <c r="AR177" s="95"/>
      <c r="AS177" s="95"/>
    </row>
    <row r="178" ht="15.0" customHeight="1">
      <c r="AB178" s="95"/>
      <c r="AC178" s="95"/>
      <c r="AD178" s="95"/>
      <c r="AE178" s="95"/>
      <c r="AF178" s="95"/>
      <c r="AG178" s="95"/>
      <c r="AH178" s="95"/>
      <c r="AI178" s="95"/>
      <c r="AJ178" s="95"/>
      <c r="AK178" s="95"/>
      <c r="AL178" s="95"/>
      <c r="AM178" s="95"/>
      <c r="AN178" s="95"/>
      <c r="AO178" s="95"/>
      <c r="AP178" s="95"/>
      <c r="AQ178" s="95"/>
      <c r="AR178" s="95"/>
      <c r="AS178" s="95"/>
    </row>
    <row r="179" ht="15.0" customHeight="1">
      <c r="AB179" s="95"/>
      <c r="AC179" s="95"/>
      <c r="AD179" s="95"/>
      <c r="AE179" s="95"/>
      <c r="AF179" s="95"/>
      <c r="AG179" s="95"/>
      <c r="AH179" s="95"/>
      <c r="AI179" s="95"/>
      <c r="AJ179" s="95"/>
      <c r="AK179" s="95"/>
      <c r="AL179" s="95"/>
      <c r="AM179" s="95"/>
      <c r="AN179" s="95"/>
      <c r="AO179" s="95"/>
      <c r="AP179" s="95"/>
      <c r="AQ179" s="95"/>
      <c r="AR179" s="95"/>
      <c r="AS179" s="95"/>
    </row>
    <row r="180" ht="15.0" customHeight="1">
      <c r="AB180" s="95"/>
      <c r="AC180" s="95"/>
      <c r="AD180" s="95"/>
      <c r="AE180" s="95"/>
      <c r="AF180" s="95"/>
      <c r="AG180" s="95"/>
      <c r="AH180" s="95"/>
      <c r="AI180" s="95"/>
      <c r="AJ180" s="95"/>
      <c r="AK180" s="95"/>
      <c r="AL180" s="95"/>
      <c r="AM180" s="95"/>
      <c r="AN180" s="95"/>
      <c r="AO180" s="95"/>
      <c r="AP180" s="95"/>
      <c r="AQ180" s="95"/>
      <c r="AR180" s="95"/>
      <c r="AS180" s="95"/>
    </row>
    <row r="181" ht="15.0" customHeight="1">
      <c r="AB181" s="95"/>
      <c r="AC181" s="95"/>
      <c r="AD181" s="95"/>
      <c r="AE181" s="95"/>
      <c r="AF181" s="95"/>
      <c r="AG181" s="95"/>
      <c r="AH181" s="95"/>
      <c r="AI181" s="95"/>
      <c r="AJ181" s="95"/>
      <c r="AK181" s="95"/>
      <c r="AL181" s="95"/>
      <c r="AM181" s="95"/>
      <c r="AN181" s="95"/>
      <c r="AO181" s="95"/>
      <c r="AP181" s="95"/>
      <c r="AQ181" s="95"/>
      <c r="AR181" s="95"/>
      <c r="AS181" s="95"/>
    </row>
    <row r="182" ht="15.0" customHeight="1">
      <c r="AB182" s="95"/>
      <c r="AC182" s="95"/>
      <c r="AD182" s="95"/>
      <c r="AE182" s="95"/>
      <c r="AF182" s="95"/>
      <c r="AG182" s="95"/>
      <c r="AH182" s="95"/>
      <c r="AI182" s="95"/>
      <c r="AJ182" s="95"/>
      <c r="AK182" s="95"/>
      <c r="AL182" s="95"/>
      <c r="AM182" s="95"/>
      <c r="AN182" s="95"/>
      <c r="AO182" s="95"/>
      <c r="AP182" s="95"/>
      <c r="AQ182" s="95"/>
      <c r="AR182" s="95"/>
      <c r="AS182" s="95"/>
    </row>
    <row r="183" ht="15.0" customHeight="1">
      <c r="AB183" s="95"/>
      <c r="AC183" s="95"/>
      <c r="AD183" s="95"/>
      <c r="AE183" s="95"/>
      <c r="AF183" s="95"/>
      <c r="AG183" s="95"/>
      <c r="AH183" s="95"/>
      <c r="AI183" s="95"/>
      <c r="AJ183" s="95"/>
      <c r="AK183" s="95"/>
      <c r="AL183" s="95"/>
      <c r="AM183" s="95"/>
      <c r="AN183" s="95"/>
      <c r="AO183" s="95"/>
      <c r="AP183" s="95"/>
      <c r="AQ183" s="95"/>
      <c r="AR183" s="95"/>
      <c r="AS183" s="95"/>
    </row>
    <row r="184" ht="15.0" customHeight="1">
      <c r="AB184" s="95"/>
      <c r="AC184" s="95"/>
      <c r="AD184" s="95"/>
      <c r="AE184" s="95"/>
      <c r="AF184" s="95"/>
      <c r="AG184" s="95"/>
      <c r="AH184" s="95"/>
      <c r="AI184" s="95"/>
      <c r="AJ184" s="95"/>
      <c r="AK184" s="95"/>
      <c r="AL184" s="95"/>
      <c r="AM184" s="95"/>
      <c r="AN184" s="95"/>
      <c r="AO184" s="95"/>
      <c r="AP184" s="95"/>
      <c r="AQ184" s="95"/>
      <c r="AR184" s="95"/>
      <c r="AS184" s="95"/>
    </row>
    <row r="185" ht="15.0" customHeight="1">
      <c r="AB185" s="95"/>
      <c r="AC185" s="95"/>
      <c r="AD185" s="95"/>
      <c r="AE185" s="95"/>
      <c r="AF185" s="95"/>
      <c r="AG185" s="95"/>
      <c r="AH185" s="95"/>
      <c r="AI185" s="95"/>
      <c r="AJ185" s="95"/>
      <c r="AK185" s="95"/>
      <c r="AL185" s="95"/>
      <c r="AM185" s="95"/>
      <c r="AN185" s="95"/>
      <c r="AO185" s="95"/>
      <c r="AP185" s="95"/>
      <c r="AQ185" s="95"/>
      <c r="AR185" s="95"/>
      <c r="AS185" s="95"/>
    </row>
    <row r="186" ht="15.0" customHeight="1">
      <c r="AB186" s="95"/>
      <c r="AC186" s="95"/>
      <c r="AD186" s="95"/>
      <c r="AE186" s="95"/>
      <c r="AF186" s="95"/>
      <c r="AG186" s="95"/>
      <c r="AH186" s="95"/>
      <c r="AI186" s="95"/>
      <c r="AJ186" s="95"/>
      <c r="AK186" s="95"/>
      <c r="AL186" s="95"/>
      <c r="AM186" s="95"/>
      <c r="AN186" s="95"/>
      <c r="AO186" s="95"/>
      <c r="AP186" s="95"/>
      <c r="AQ186" s="95"/>
      <c r="AR186" s="95"/>
      <c r="AS186" s="95"/>
    </row>
    <row r="187" ht="15.0" customHeight="1">
      <c r="AB187" s="95"/>
      <c r="AC187" s="95"/>
      <c r="AD187" s="95"/>
      <c r="AE187" s="95"/>
      <c r="AF187" s="95"/>
      <c r="AG187" s="95"/>
      <c r="AH187" s="95"/>
      <c r="AI187" s="95"/>
      <c r="AJ187" s="95"/>
      <c r="AK187" s="95"/>
      <c r="AL187" s="95"/>
      <c r="AM187" s="95"/>
      <c r="AN187" s="95"/>
      <c r="AO187" s="95"/>
      <c r="AP187" s="95"/>
      <c r="AQ187" s="95"/>
      <c r="AR187" s="95"/>
      <c r="AS187" s="95"/>
    </row>
    <row r="188" ht="15.0" customHeight="1">
      <c r="AB188" s="95"/>
      <c r="AC188" s="95"/>
      <c r="AD188" s="95"/>
      <c r="AE188" s="95"/>
      <c r="AF188" s="95"/>
      <c r="AG188" s="95"/>
      <c r="AH188" s="95"/>
      <c r="AI188" s="95"/>
      <c r="AJ188" s="95"/>
      <c r="AK188" s="95"/>
      <c r="AL188" s="95"/>
      <c r="AM188" s="95"/>
      <c r="AN188" s="95"/>
      <c r="AO188" s="95"/>
      <c r="AP188" s="95"/>
      <c r="AQ188" s="95"/>
      <c r="AR188" s="95"/>
      <c r="AS188" s="95"/>
    </row>
    <row r="189" ht="15.0" customHeight="1">
      <c r="AB189" s="95"/>
      <c r="AC189" s="95"/>
      <c r="AD189" s="95"/>
      <c r="AE189" s="95"/>
      <c r="AF189" s="95"/>
      <c r="AG189" s="95"/>
      <c r="AH189" s="95"/>
      <c r="AI189" s="95"/>
      <c r="AJ189" s="95"/>
      <c r="AK189" s="95"/>
      <c r="AL189" s="95"/>
      <c r="AM189" s="95"/>
      <c r="AN189" s="95"/>
      <c r="AO189" s="95"/>
      <c r="AP189" s="95"/>
      <c r="AQ189" s="95"/>
      <c r="AR189" s="95"/>
      <c r="AS189" s="95"/>
    </row>
    <row r="190" ht="15.0" customHeight="1">
      <c r="AB190" s="95"/>
      <c r="AC190" s="95"/>
      <c r="AD190" s="95"/>
      <c r="AE190" s="95"/>
      <c r="AF190" s="95"/>
      <c r="AG190" s="95"/>
      <c r="AH190" s="95"/>
      <c r="AI190" s="95"/>
      <c r="AJ190" s="95"/>
      <c r="AK190" s="95"/>
      <c r="AL190" s="95"/>
      <c r="AM190" s="95"/>
      <c r="AN190" s="95"/>
      <c r="AO190" s="95"/>
      <c r="AP190" s="95"/>
      <c r="AQ190" s="95"/>
      <c r="AR190" s="95"/>
      <c r="AS190" s="95"/>
    </row>
    <row r="191" ht="15.0" customHeight="1">
      <c r="AB191" s="95"/>
      <c r="AC191" s="95"/>
      <c r="AD191" s="95"/>
      <c r="AE191" s="95"/>
      <c r="AF191" s="95"/>
      <c r="AG191" s="95"/>
      <c r="AH191" s="95"/>
      <c r="AI191" s="95"/>
      <c r="AJ191" s="95"/>
      <c r="AK191" s="95"/>
      <c r="AL191" s="95"/>
      <c r="AM191" s="95"/>
      <c r="AN191" s="95"/>
      <c r="AO191" s="95"/>
      <c r="AP191" s="95"/>
      <c r="AQ191" s="95"/>
      <c r="AR191" s="95"/>
      <c r="AS191" s="95"/>
    </row>
    <row r="192" ht="15.0" customHeight="1">
      <c r="AB192" s="95"/>
      <c r="AC192" s="95"/>
      <c r="AD192" s="95"/>
      <c r="AE192" s="95"/>
      <c r="AF192" s="95"/>
      <c r="AG192" s="95"/>
      <c r="AH192" s="95"/>
      <c r="AI192" s="95"/>
      <c r="AJ192" s="95"/>
      <c r="AK192" s="95"/>
      <c r="AL192" s="95"/>
      <c r="AM192" s="95"/>
      <c r="AN192" s="95"/>
      <c r="AO192" s="95"/>
      <c r="AP192" s="95"/>
      <c r="AQ192" s="95"/>
      <c r="AR192" s="95"/>
      <c r="AS192" s="95"/>
    </row>
    <row r="193" ht="15.0" customHeight="1">
      <c r="AB193" s="95"/>
      <c r="AC193" s="95"/>
      <c r="AD193" s="95"/>
      <c r="AE193" s="95"/>
      <c r="AF193" s="95"/>
      <c r="AG193" s="95"/>
      <c r="AH193" s="95"/>
      <c r="AI193" s="95"/>
      <c r="AJ193" s="95"/>
      <c r="AK193" s="95"/>
      <c r="AL193" s="95"/>
      <c r="AM193" s="95"/>
      <c r="AN193" s="95"/>
      <c r="AO193" s="95"/>
      <c r="AP193" s="95"/>
      <c r="AQ193" s="95"/>
      <c r="AR193" s="95"/>
      <c r="AS193" s="95"/>
    </row>
    <row r="194" ht="15.0" customHeight="1">
      <c r="AB194" s="95"/>
      <c r="AC194" s="95"/>
      <c r="AD194" s="95"/>
      <c r="AE194" s="95"/>
      <c r="AF194" s="95"/>
      <c r="AG194" s="95"/>
      <c r="AH194" s="95"/>
      <c r="AI194" s="95"/>
      <c r="AJ194" s="95"/>
      <c r="AK194" s="95"/>
      <c r="AL194" s="95"/>
      <c r="AM194" s="95"/>
      <c r="AN194" s="95"/>
      <c r="AO194" s="95"/>
      <c r="AP194" s="95"/>
      <c r="AQ194" s="95"/>
      <c r="AR194" s="95"/>
      <c r="AS194" s="95"/>
    </row>
    <row r="195" ht="15.0" customHeight="1">
      <c r="AB195" s="95"/>
      <c r="AC195" s="95"/>
      <c r="AD195" s="95"/>
      <c r="AE195" s="95"/>
      <c r="AF195" s="95"/>
      <c r="AG195" s="95"/>
      <c r="AH195" s="95"/>
      <c r="AI195" s="95"/>
      <c r="AJ195" s="95"/>
      <c r="AK195" s="95"/>
      <c r="AL195" s="95"/>
      <c r="AM195" s="95"/>
      <c r="AN195" s="95"/>
      <c r="AO195" s="95"/>
      <c r="AP195" s="95"/>
      <c r="AQ195" s="95"/>
      <c r="AR195" s="95"/>
      <c r="AS195" s="95"/>
    </row>
    <row r="196" ht="15.0" customHeight="1">
      <c r="AB196" s="95"/>
      <c r="AC196" s="95"/>
      <c r="AD196" s="95"/>
      <c r="AE196" s="95"/>
      <c r="AF196" s="95"/>
      <c r="AG196" s="95"/>
      <c r="AH196" s="95"/>
      <c r="AI196" s="95"/>
      <c r="AJ196" s="95"/>
      <c r="AK196" s="95"/>
      <c r="AL196" s="95"/>
      <c r="AM196" s="95"/>
      <c r="AN196" s="95"/>
      <c r="AO196" s="95"/>
      <c r="AP196" s="95"/>
      <c r="AQ196" s="95"/>
      <c r="AR196" s="95"/>
      <c r="AS196" s="95"/>
    </row>
    <row r="197" ht="15.0" customHeight="1">
      <c r="AB197" s="95"/>
      <c r="AC197" s="95"/>
      <c r="AD197" s="95"/>
      <c r="AE197" s="95"/>
      <c r="AF197" s="95"/>
      <c r="AG197" s="95"/>
      <c r="AH197" s="95"/>
      <c r="AI197" s="95"/>
      <c r="AJ197" s="95"/>
      <c r="AK197" s="95"/>
      <c r="AL197" s="95"/>
      <c r="AM197" s="95"/>
      <c r="AN197" s="95"/>
      <c r="AO197" s="95"/>
      <c r="AP197" s="95"/>
      <c r="AQ197" s="95"/>
      <c r="AR197" s="95"/>
      <c r="AS197" s="95"/>
    </row>
    <row r="198" ht="15.0" customHeight="1">
      <c r="AB198" s="95"/>
      <c r="AC198" s="95"/>
      <c r="AD198" s="95"/>
      <c r="AE198" s="95"/>
      <c r="AF198" s="95"/>
      <c r="AG198" s="95"/>
      <c r="AH198" s="95"/>
      <c r="AI198" s="95"/>
      <c r="AJ198" s="95"/>
      <c r="AK198" s="95"/>
      <c r="AL198" s="95"/>
      <c r="AM198" s="95"/>
      <c r="AN198" s="95"/>
      <c r="AO198" s="95"/>
      <c r="AP198" s="95"/>
      <c r="AQ198" s="95"/>
      <c r="AR198" s="95"/>
      <c r="AS198" s="95"/>
    </row>
    <row r="199" ht="15.0" customHeight="1">
      <c r="AB199" s="95"/>
      <c r="AC199" s="95"/>
      <c r="AD199" s="95"/>
      <c r="AE199" s="95"/>
      <c r="AF199" s="95"/>
      <c r="AG199" s="95"/>
      <c r="AH199" s="95"/>
      <c r="AI199" s="95"/>
      <c r="AJ199" s="95"/>
      <c r="AK199" s="95"/>
      <c r="AL199" s="95"/>
      <c r="AM199" s="95"/>
      <c r="AN199" s="95"/>
      <c r="AO199" s="95"/>
      <c r="AP199" s="95"/>
      <c r="AQ199" s="95"/>
      <c r="AR199" s="95"/>
      <c r="AS199" s="95"/>
    </row>
    <row r="200" ht="15.0" customHeight="1">
      <c r="AB200" s="95"/>
      <c r="AC200" s="95"/>
      <c r="AD200" s="95"/>
      <c r="AE200" s="95"/>
      <c r="AF200" s="95"/>
      <c r="AG200" s="95"/>
      <c r="AH200" s="95"/>
      <c r="AI200" s="95"/>
      <c r="AJ200" s="95"/>
      <c r="AK200" s="95"/>
      <c r="AL200" s="95"/>
      <c r="AM200" s="95"/>
      <c r="AN200" s="95"/>
      <c r="AO200" s="95"/>
      <c r="AP200" s="95"/>
      <c r="AQ200" s="95"/>
      <c r="AR200" s="95"/>
      <c r="AS200" s="95"/>
    </row>
    <row r="201" ht="15.0" customHeight="1">
      <c r="AB201" s="95"/>
      <c r="AC201" s="95"/>
      <c r="AD201" s="95"/>
      <c r="AE201" s="95"/>
      <c r="AF201" s="95"/>
      <c r="AG201" s="95"/>
      <c r="AH201" s="95"/>
      <c r="AI201" s="95"/>
      <c r="AJ201" s="95"/>
      <c r="AK201" s="95"/>
      <c r="AL201" s="95"/>
      <c r="AM201" s="95"/>
      <c r="AN201" s="95"/>
      <c r="AO201" s="95"/>
      <c r="AP201" s="95"/>
      <c r="AQ201" s="95"/>
      <c r="AR201" s="95"/>
      <c r="AS201" s="95"/>
    </row>
    <row r="202" ht="15.0" customHeight="1">
      <c r="AB202" s="95"/>
      <c r="AC202" s="95"/>
      <c r="AD202" s="95"/>
      <c r="AE202" s="95"/>
      <c r="AF202" s="95"/>
      <c r="AG202" s="95"/>
      <c r="AH202" s="95"/>
      <c r="AI202" s="95"/>
      <c r="AJ202" s="95"/>
      <c r="AK202" s="95"/>
      <c r="AL202" s="95"/>
      <c r="AM202" s="95"/>
      <c r="AN202" s="95"/>
      <c r="AO202" s="95"/>
      <c r="AP202" s="95"/>
      <c r="AQ202" s="95"/>
      <c r="AR202" s="95"/>
      <c r="AS202" s="95"/>
    </row>
    <row r="203" ht="15.0" customHeight="1">
      <c r="AB203" s="95"/>
      <c r="AC203" s="95"/>
      <c r="AD203" s="95"/>
      <c r="AE203" s="95"/>
      <c r="AF203" s="95"/>
      <c r="AG203" s="95"/>
      <c r="AH203" s="95"/>
      <c r="AI203" s="95"/>
      <c r="AJ203" s="95"/>
      <c r="AK203" s="95"/>
      <c r="AL203" s="95"/>
      <c r="AM203" s="95"/>
      <c r="AN203" s="95"/>
      <c r="AO203" s="95"/>
      <c r="AP203" s="95"/>
      <c r="AQ203" s="95"/>
      <c r="AR203" s="95"/>
      <c r="AS203" s="95"/>
    </row>
    <row r="204" ht="15.0" customHeight="1">
      <c r="AB204" s="95"/>
      <c r="AC204" s="95"/>
      <c r="AD204" s="95"/>
      <c r="AE204" s="95"/>
      <c r="AF204" s="95"/>
      <c r="AG204" s="95"/>
      <c r="AH204" s="95"/>
      <c r="AI204" s="95"/>
      <c r="AJ204" s="95"/>
      <c r="AK204" s="95"/>
      <c r="AL204" s="95"/>
      <c r="AM204" s="95"/>
      <c r="AN204" s="95"/>
      <c r="AO204" s="95"/>
      <c r="AP204" s="95"/>
      <c r="AQ204" s="95"/>
      <c r="AR204" s="95"/>
      <c r="AS204" s="95"/>
    </row>
    <row r="205" ht="15.0" customHeight="1">
      <c r="AB205" s="95"/>
      <c r="AC205" s="95"/>
      <c r="AD205" s="95"/>
      <c r="AE205" s="95"/>
      <c r="AF205" s="95"/>
      <c r="AG205" s="95"/>
      <c r="AH205" s="95"/>
      <c r="AI205" s="95"/>
      <c r="AJ205" s="95"/>
      <c r="AK205" s="95"/>
      <c r="AL205" s="95"/>
      <c r="AM205" s="95"/>
      <c r="AN205" s="95"/>
      <c r="AO205" s="95"/>
      <c r="AP205" s="95"/>
      <c r="AQ205" s="95"/>
      <c r="AR205" s="95"/>
      <c r="AS205" s="95"/>
    </row>
    <row r="206" ht="15.0" customHeight="1">
      <c r="AB206" s="95"/>
      <c r="AC206" s="95"/>
      <c r="AD206" s="95"/>
      <c r="AE206" s="95"/>
      <c r="AF206" s="95"/>
      <c r="AG206" s="95"/>
      <c r="AH206" s="95"/>
      <c r="AI206" s="95"/>
      <c r="AJ206" s="95"/>
      <c r="AK206" s="95"/>
      <c r="AL206" s="95"/>
      <c r="AM206" s="95"/>
      <c r="AN206" s="95"/>
      <c r="AO206" s="95"/>
      <c r="AP206" s="95"/>
      <c r="AQ206" s="95"/>
      <c r="AR206" s="95"/>
      <c r="AS206" s="95"/>
    </row>
    <row r="207" ht="15.0" customHeight="1">
      <c r="AB207" s="95"/>
      <c r="AC207" s="95"/>
      <c r="AD207" s="95"/>
      <c r="AE207" s="95"/>
      <c r="AF207" s="95"/>
      <c r="AG207" s="95"/>
      <c r="AH207" s="95"/>
      <c r="AI207" s="95"/>
      <c r="AJ207" s="95"/>
      <c r="AK207" s="95"/>
      <c r="AL207" s="95"/>
      <c r="AM207" s="95"/>
      <c r="AN207" s="95"/>
      <c r="AO207" s="95"/>
      <c r="AP207" s="95"/>
      <c r="AQ207" s="95"/>
      <c r="AR207" s="95"/>
      <c r="AS207" s="95"/>
    </row>
    <row r="208" ht="15.0" customHeight="1">
      <c r="AB208" s="95"/>
      <c r="AC208" s="95"/>
      <c r="AD208" s="95"/>
      <c r="AE208" s="95"/>
      <c r="AF208" s="95"/>
      <c r="AG208" s="95"/>
      <c r="AH208" s="95"/>
      <c r="AI208" s="95"/>
      <c r="AJ208" s="95"/>
      <c r="AK208" s="95"/>
      <c r="AL208" s="95"/>
      <c r="AM208" s="95"/>
      <c r="AN208" s="95"/>
      <c r="AO208" s="95"/>
      <c r="AP208" s="95"/>
      <c r="AQ208" s="95"/>
      <c r="AR208" s="95"/>
      <c r="AS208" s="95"/>
    </row>
    <row r="209" ht="15.0" customHeight="1">
      <c r="AB209" s="95"/>
      <c r="AC209" s="95"/>
      <c r="AD209" s="95"/>
      <c r="AE209" s="95"/>
      <c r="AF209" s="95"/>
      <c r="AG209" s="95"/>
      <c r="AH209" s="95"/>
      <c r="AI209" s="95"/>
      <c r="AJ209" s="95"/>
      <c r="AK209" s="95"/>
      <c r="AL209" s="95"/>
      <c r="AM209" s="95"/>
      <c r="AN209" s="95"/>
      <c r="AO209" s="95"/>
      <c r="AP209" s="95"/>
      <c r="AQ209" s="95"/>
      <c r="AR209" s="95"/>
      <c r="AS209" s="95"/>
    </row>
    <row r="210" ht="15.0" customHeight="1">
      <c r="AB210" s="95"/>
      <c r="AC210" s="95"/>
      <c r="AD210" s="95"/>
      <c r="AE210" s="95"/>
      <c r="AF210" s="95"/>
      <c r="AG210" s="95"/>
      <c r="AH210" s="95"/>
      <c r="AI210" s="95"/>
      <c r="AJ210" s="95"/>
      <c r="AK210" s="95"/>
      <c r="AL210" s="95"/>
      <c r="AM210" s="95"/>
      <c r="AN210" s="95"/>
      <c r="AO210" s="95"/>
      <c r="AP210" s="95"/>
      <c r="AQ210" s="95"/>
      <c r="AR210" s="95"/>
      <c r="AS210" s="95"/>
    </row>
    <row r="211" ht="15.0" customHeight="1">
      <c r="AB211" s="95"/>
      <c r="AC211" s="95"/>
      <c r="AD211" s="95"/>
      <c r="AE211" s="95"/>
      <c r="AF211" s="95"/>
      <c r="AG211" s="95"/>
      <c r="AH211" s="95"/>
      <c r="AI211" s="95"/>
      <c r="AJ211" s="95"/>
      <c r="AK211" s="95"/>
      <c r="AL211" s="95"/>
      <c r="AM211" s="95"/>
      <c r="AN211" s="95"/>
      <c r="AO211" s="95"/>
      <c r="AP211" s="95"/>
      <c r="AQ211" s="95"/>
      <c r="AR211" s="95"/>
      <c r="AS211" s="95"/>
    </row>
    <row r="212" ht="15.0" customHeight="1">
      <c r="AB212" s="95"/>
      <c r="AC212" s="95"/>
      <c r="AD212" s="95"/>
      <c r="AE212" s="95"/>
      <c r="AF212" s="95"/>
      <c r="AG212" s="95"/>
      <c r="AH212" s="95"/>
      <c r="AI212" s="95"/>
      <c r="AJ212" s="95"/>
      <c r="AK212" s="95"/>
      <c r="AL212" s="95"/>
      <c r="AM212" s="95"/>
      <c r="AN212" s="95"/>
      <c r="AO212" s="95"/>
      <c r="AP212" s="95"/>
      <c r="AQ212" s="95"/>
      <c r="AR212" s="95"/>
      <c r="AS212" s="95"/>
    </row>
    <row r="213" ht="15.0" customHeight="1">
      <c r="AB213" s="95"/>
      <c r="AC213" s="95"/>
      <c r="AD213" s="95"/>
      <c r="AE213" s="95"/>
      <c r="AF213" s="95"/>
      <c r="AG213" s="95"/>
      <c r="AH213" s="95"/>
      <c r="AI213" s="95"/>
      <c r="AJ213" s="95"/>
      <c r="AK213" s="95"/>
      <c r="AL213" s="95"/>
      <c r="AM213" s="95"/>
      <c r="AN213" s="95"/>
      <c r="AO213" s="95"/>
      <c r="AP213" s="95"/>
      <c r="AQ213" s="95"/>
      <c r="AR213" s="95"/>
      <c r="AS213" s="95"/>
    </row>
    <row r="214" ht="15.0" customHeight="1">
      <c r="AB214" s="95"/>
      <c r="AC214" s="95"/>
      <c r="AD214" s="95"/>
      <c r="AE214" s="95"/>
      <c r="AF214" s="95"/>
      <c r="AG214" s="95"/>
      <c r="AH214" s="95"/>
      <c r="AI214" s="95"/>
      <c r="AJ214" s="95"/>
      <c r="AK214" s="95"/>
      <c r="AL214" s="95"/>
      <c r="AM214" s="95"/>
      <c r="AN214" s="95"/>
      <c r="AO214" s="95"/>
      <c r="AP214" s="95"/>
      <c r="AQ214" s="95"/>
      <c r="AR214" s="95"/>
      <c r="AS214" s="95"/>
    </row>
    <row r="215" ht="15.0" customHeight="1">
      <c r="AB215" s="95"/>
      <c r="AC215" s="95"/>
      <c r="AD215" s="95"/>
      <c r="AE215" s="95"/>
      <c r="AF215" s="95"/>
      <c r="AG215" s="95"/>
      <c r="AH215" s="95"/>
      <c r="AI215" s="95"/>
      <c r="AJ215" s="95"/>
      <c r="AK215" s="95"/>
      <c r="AL215" s="95"/>
      <c r="AM215" s="95"/>
      <c r="AN215" s="95"/>
      <c r="AO215" s="95"/>
      <c r="AP215" s="95"/>
      <c r="AQ215" s="95"/>
      <c r="AR215" s="95"/>
      <c r="AS215" s="95"/>
    </row>
    <row r="216" ht="15.0" customHeight="1">
      <c r="AB216" s="95"/>
      <c r="AC216" s="95"/>
      <c r="AD216" s="95"/>
      <c r="AE216" s="95"/>
      <c r="AF216" s="95"/>
      <c r="AG216" s="95"/>
      <c r="AH216" s="95"/>
      <c r="AI216" s="95"/>
      <c r="AJ216" s="95"/>
      <c r="AK216" s="95"/>
      <c r="AL216" s="95"/>
      <c r="AM216" s="95"/>
      <c r="AN216" s="95"/>
      <c r="AO216" s="95"/>
      <c r="AP216" s="95"/>
      <c r="AQ216" s="95"/>
      <c r="AR216" s="95"/>
      <c r="AS216" s="95"/>
    </row>
    <row r="217" ht="15.0" customHeight="1">
      <c r="AB217" s="95"/>
      <c r="AC217" s="95"/>
      <c r="AD217" s="95"/>
      <c r="AE217" s="95"/>
      <c r="AF217" s="95"/>
      <c r="AG217" s="95"/>
      <c r="AH217" s="95"/>
      <c r="AI217" s="95"/>
      <c r="AJ217" s="95"/>
      <c r="AK217" s="95"/>
      <c r="AL217" s="95"/>
      <c r="AM217" s="95"/>
      <c r="AN217" s="95"/>
      <c r="AO217" s="95"/>
      <c r="AP217" s="95"/>
      <c r="AQ217" s="95"/>
      <c r="AR217" s="95"/>
      <c r="AS217" s="95"/>
    </row>
    <row r="218" ht="15.0" customHeight="1">
      <c r="AB218" s="95"/>
      <c r="AC218" s="95"/>
      <c r="AD218" s="95"/>
      <c r="AE218" s="95"/>
      <c r="AF218" s="95"/>
      <c r="AG218" s="95"/>
      <c r="AH218" s="95"/>
      <c r="AI218" s="95"/>
      <c r="AJ218" s="95"/>
      <c r="AK218" s="95"/>
      <c r="AL218" s="95"/>
      <c r="AM218" s="95"/>
      <c r="AN218" s="95"/>
      <c r="AO218" s="95"/>
      <c r="AP218" s="95"/>
      <c r="AQ218" s="95"/>
      <c r="AR218" s="95"/>
      <c r="AS218" s="95"/>
    </row>
    <row r="219" ht="15.0" customHeight="1">
      <c r="AB219" s="95"/>
      <c r="AC219" s="95"/>
      <c r="AD219" s="95"/>
      <c r="AE219" s="95"/>
      <c r="AF219" s="95"/>
      <c r="AG219" s="95"/>
      <c r="AH219" s="95"/>
      <c r="AI219" s="95"/>
      <c r="AJ219" s="95"/>
      <c r="AK219" s="95"/>
      <c r="AL219" s="95"/>
      <c r="AM219" s="95"/>
      <c r="AN219" s="95"/>
      <c r="AO219" s="95"/>
      <c r="AP219" s="95"/>
      <c r="AQ219" s="95"/>
      <c r="AR219" s="95"/>
      <c r="AS219" s="95"/>
    </row>
    <row r="220" ht="15.0" customHeight="1">
      <c r="AB220" s="95"/>
      <c r="AC220" s="95"/>
      <c r="AD220" s="95"/>
      <c r="AE220" s="95"/>
      <c r="AF220" s="95"/>
      <c r="AG220" s="95"/>
      <c r="AH220" s="95"/>
      <c r="AI220" s="95"/>
      <c r="AJ220" s="95"/>
      <c r="AK220" s="95"/>
      <c r="AL220" s="95"/>
      <c r="AM220" s="95"/>
      <c r="AN220" s="95"/>
      <c r="AO220" s="95"/>
      <c r="AP220" s="95"/>
      <c r="AQ220" s="95"/>
      <c r="AR220" s="95"/>
      <c r="AS220" s="95"/>
    </row>
    <row r="221" ht="15.0" customHeight="1">
      <c r="AB221" s="95"/>
      <c r="AC221" s="95"/>
      <c r="AD221" s="95"/>
      <c r="AE221" s="95"/>
      <c r="AF221" s="95"/>
      <c r="AG221" s="95"/>
      <c r="AH221" s="95"/>
      <c r="AI221" s="95"/>
      <c r="AJ221" s="95"/>
      <c r="AK221" s="95"/>
      <c r="AL221" s="95"/>
      <c r="AM221" s="95"/>
      <c r="AN221" s="95"/>
      <c r="AO221" s="95"/>
      <c r="AP221" s="95"/>
      <c r="AQ221" s="95"/>
      <c r="AR221" s="95"/>
      <c r="AS221" s="95"/>
    </row>
    <row r="222" ht="15.0" customHeight="1">
      <c r="AB222" s="95"/>
      <c r="AC222" s="95"/>
      <c r="AD222" s="95"/>
      <c r="AE222" s="95"/>
      <c r="AF222" s="95"/>
      <c r="AG222" s="95"/>
      <c r="AH222" s="95"/>
      <c r="AI222" s="95"/>
      <c r="AJ222" s="95"/>
      <c r="AK222" s="95"/>
      <c r="AL222" s="95"/>
      <c r="AM222" s="95"/>
      <c r="AN222" s="95"/>
      <c r="AO222" s="95"/>
      <c r="AP222" s="95"/>
      <c r="AQ222" s="95"/>
      <c r="AR222" s="95"/>
      <c r="AS222" s="95"/>
    </row>
    <row r="223" ht="15.0" customHeight="1">
      <c r="AB223" s="95"/>
      <c r="AC223" s="95"/>
      <c r="AD223" s="95"/>
      <c r="AE223" s="95"/>
      <c r="AF223" s="95"/>
      <c r="AG223" s="95"/>
      <c r="AH223" s="95"/>
      <c r="AI223" s="95"/>
      <c r="AJ223" s="95"/>
      <c r="AK223" s="95"/>
      <c r="AL223" s="95"/>
      <c r="AM223" s="95"/>
      <c r="AN223" s="95"/>
      <c r="AO223" s="95"/>
      <c r="AP223" s="95"/>
      <c r="AQ223" s="95"/>
      <c r="AR223" s="95"/>
      <c r="AS223" s="95"/>
    </row>
    <row r="224" ht="15.0" customHeight="1">
      <c r="AB224" s="95"/>
      <c r="AC224" s="95"/>
      <c r="AD224" s="95"/>
      <c r="AE224" s="95"/>
      <c r="AF224" s="95"/>
      <c r="AG224" s="95"/>
      <c r="AH224" s="95"/>
      <c r="AI224" s="95"/>
      <c r="AJ224" s="95"/>
      <c r="AK224" s="95"/>
      <c r="AL224" s="95"/>
      <c r="AM224" s="95"/>
      <c r="AN224" s="95"/>
      <c r="AO224" s="95"/>
      <c r="AP224" s="95"/>
      <c r="AQ224" s="95"/>
      <c r="AR224" s="95"/>
      <c r="AS224" s="95"/>
    </row>
    <row r="225" ht="15.0" customHeight="1">
      <c r="AB225" s="95"/>
      <c r="AC225" s="95"/>
      <c r="AD225" s="95"/>
      <c r="AE225" s="95"/>
      <c r="AF225" s="95"/>
      <c r="AG225" s="95"/>
      <c r="AH225" s="95"/>
      <c r="AI225" s="95"/>
      <c r="AJ225" s="95"/>
      <c r="AK225" s="95"/>
      <c r="AL225" s="95"/>
      <c r="AM225" s="95"/>
      <c r="AN225" s="95"/>
      <c r="AO225" s="95"/>
      <c r="AP225" s="95"/>
      <c r="AQ225" s="95"/>
      <c r="AR225" s="95"/>
      <c r="AS225" s="95"/>
    </row>
    <row r="226" ht="15.0" customHeight="1">
      <c r="AB226" s="95"/>
      <c r="AC226" s="95"/>
      <c r="AD226" s="95"/>
      <c r="AE226" s="95"/>
      <c r="AF226" s="95"/>
      <c r="AG226" s="95"/>
      <c r="AH226" s="95"/>
      <c r="AI226" s="95"/>
      <c r="AJ226" s="95"/>
      <c r="AK226" s="95"/>
      <c r="AL226" s="95"/>
      <c r="AM226" s="95"/>
      <c r="AN226" s="95"/>
      <c r="AO226" s="95"/>
      <c r="AP226" s="95"/>
      <c r="AQ226" s="95"/>
      <c r="AR226" s="95"/>
      <c r="AS226" s="95"/>
    </row>
    <row r="227" ht="15.0" customHeight="1">
      <c r="AB227" s="95"/>
      <c r="AC227" s="95"/>
      <c r="AD227" s="95"/>
      <c r="AE227" s="95"/>
      <c r="AF227" s="95"/>
      <c r="AG227" s="95"/>
      <c r="AH227" s="95"/>
      <c r="AI227" s="95"/>
      <c r="AJ227" s="95"/>
      <c r="AK227" s="95"/>
      <c r="AL227" s="95"/>
      <c r="AM227" s="95"/>
      <c r="AN227" s="95"/>
      <c r="AO227" s="95"/>
      <c r="AP227" s="95"/>
      <c r="AQ227" s="95"/>
      <c r="AR227" s="95"/>
      <c r="AS227" s="95"/>
    </row>
    <row r="228" ht="15.0" customHeight="1">
      <c r="AB228" s="95"/>
      <c r="AC228" s="95"/>
      <c r="AD228" s="95"/>
      <c r="AE228" s="95"/>
      <c r="AF228" s="95"/>
      <c r="AG228" s="95"/>
      <c r="AH228" s="95"/>
      <c r="AI228" s="95"/>
      <c r="AJ228" s="95"/>
      <c r="AK228" s="95"/>
      <c r="AL228" s="95"/>
      <c r="AM228" s="95"/>
      <c r="AN228" s="95"/>
      <c r="AO228" s="95"/>
      <c r="AP228" s="95"/>
      <c r="AQ228" s="95"/>
      <c r="AR228" s="95"/>
      <c r="AS228" s="95"/>
    </row>
    <row r="229" ht="15.0" customHeight="1">
      <c r="AB229" s="95"/>
      <c r="AC229" s="95"/>
      <c r="AD229" s="95"/>
      <c r="AE229" s="95"/>
      <c r="AF229" s="95"/>
      <c r="AG229" s="95"/>
      <c r="AH229" s="95"/>
      <c r="AI229" s="95"/>
      <c r="AJ229" s="95"/>
      <c r="AK229" s="95"/>
      <c r="AL229" s="95"/>
      <c r="AM229" s="95"/>
      <c r="AN229" s="95"/>
      <c r="AO229" s="95"/>
      <c r="AP229" s="95"/>
      <c r="AQ229" s="95"/>
      <c r="AR229" s="95"/>
      <c r="AS229" s="95"/>
    </row>
    <row r="230" ht="15.0" customHeight="1">
      <c r="AB230" s="95"/>
      <c r="AC230" s="95"/>
      <c r="AD230" s="95"/>
      <c r="AE230" s="95"/>
      <c r="AF230" s="95"/>
      <c r="AG230" s="95"/>
      <c r="AH230" s="95"/>
      <c r="AI230" s="95"/>
      <c r="AJ230" s="95"/>
      <c r="AK230" s="95"/>
      <c r="AL230" s="95"/>
      <c r="AM230" s="95"/>
      <c r="AN230" s="95"/>
      <c r="AO230" s="95"/>
      <c r="AP230" s="95"/>
      <c r="AQ230" s="95"/>
      <c r="AR230" s="95"/>
      <c r="AS230" s="95"/>
    </row>
    <row r="231" ht="15.0" customHeight="1">
      <c r="AB231" s="95"/>
      <c r="AC231" s="95"/>
      <c r="AD231" s="95"/>
      <c r="AE231" s="95"/>
      <c r="AF231" s="95"/>
      <c r="AG231" s="95"/>
      <c r="AH231" s="95"/>
      <c r="AI231" s="95"/>
      <c r="AJ231" s="95"/>
      <c r="AK231" s="95"/>
      <c r="AL231" s="95"/>
      <c r="AM231" s="95"/>
      <c r="AN231" s="95"/>
      <c r="AO231" s="95"/>
      <c r="AP231" s="95"/>
      <c r="AQ231" s="95"/>
      <c r="AR231" s="95"/>
      <c r="AS231" s="95"/>
    </row>
    <row r="232" ht="15.0" customHeight="1">
      <c r="AB232" s="95"/>
      <c r="AC232" s="95"/>
      <c r="AD232" s="95"/>
      <c r="AE232" s="95"/>
      <c r="AF232" s="95"/>
      <c r="AG232" s="95"/>
      <c r="AH232" s="95"/>
      <c r="AI232" s="95"/>
      <c r="AJ232" s="95"/>
      <c r="AK232" s="95"/>
      <c r="AL232" s="95"/>
      <c r="AM232" s="95"/>
      <c r="AN232" s="95"/>
      <c r="AO232" s="95"/>
      <c r="AP232" s="95"/>
      <c r="AQ232" s="95"/>
      <c r="AR232" s="95"/>
      <c r="AS232" s="95"/>
    </row>
    <row r="233" ht="15.0" customHeight="1">
      <c r="AB233" s="95"/>
      <c r="AC233" s="95"/>
      <c r="AD233" s="95"/>
      <c r="AE233" s="95"/>
      <c r="AF233" s="95"/>
      <c r="AG233" s="95"/>
      <c r="AH233" s="95"/>
      <c r="AI233" s="95"/>
      <c r="AJ233" s="95"/>
      <c r="AK233" s="95"/>
      <c r="AL233" s="95"/>
      <c r="AM233" s="95"/>
      <c r="AN233" s="95"/>
      <c r="AO233" s="95"/>
      <c r="AP233" s="95"/>
      <c r="AQ233" s="95"/>
      <c r="AR233" s="95"/>
      <c r="AS233" s="95"/>
    </row>
    <row r="234" ht="15.0" customHeight="1">
      <c r="AB234" s="95"/>
      <c r="AC234" s="95"/>
      <c r="AD234" s="95"/>
      <c r="AE234" s="95"/>
      <c r="AF234" s="95"/>
      <c r="AG234" s="95"/>
      <c r="AH234" s="95"/>
      <c r="AI234" s="95"/>
      <c r="AJ234" s="95"/>
      <c r="AK234" s="95"/>
      <c r="AL234" s="95"/>
      <c r="AM234" s="95"/>
      <c r="AN234" s="95"/>
      <c r="AO234" s="95"/>
      <c r="AP234" s="95"/>
      <c r="AQ234" s="95"/>
      <c r="AR234" s="95"/>
      <c r="AS234" s="95"/>
    </row>
    <row r="235" ht="15.0" customHeight="1">
      <c r="AB235" s="95"/>
      <c r="AC235" s="95"/>
      <c r="AD235" s="95"/>
      <c r="AE235" s="95"/>
      <c r="AF235" s="95"/>
      <c r="AG235" s="95"/>
      <c r="AH235" s="95"/>
      <c r="AI235" s="95"/>
      <c r="AJ235" s="95"/>
      <c r="AK235" s="95"/>
      <c r="AL235" s="95"/>
      <c r="AM235" s="95"/>
      <c r="AN235" s="95"/>
      <c r="AO235" s="95"/>
      <c r="AP235" s="95"/>
      <c r="AQ235" s="95"/>
      <c r="AR235" s="95"/>
      <c r="AS235" s="95"/>
    </row>
    <row r="236" ht="15.0" customHeight="1">
      <c r="AB236" s="95"/>
      <c r="AC236" s="95"/>
      <c r="AD236" s="95"/>
      <c r="AE236" s="95"/>
      <c r="AF236" s="95"/>
      <c r="AG236" s="95"/>
      <c r="AH236" s="95"/>
      <c r="AI236" s="95"/>
      <c r="AJ236" s="95"/>
      <c r="AK236" s="95"/>
      <c r="AL236" s="95"/>
      <c r="AM236" s="95"/>
      <c r="AN236" s="95"/>
      <c r="AO236" s="95"/>
      <c r="AP236" s="95"/>
      <c r="AQ236" s="95"/>
      <c r="AR236" s="95"/>
      <c r="AS236" s="95"/>
    </row>
    <row r="237" ht="15.0" customHeight="1">
      <c r="AB237" s="95"/>
      <c r="AC237" s="95"/>
      <c r="AD237" s="95"/>
      <c r="AE237" s="95"/>
      <c r="AF237" s="95"/>
      <c r="AG237" s="95"/>
      <c r="AH237" s="95"/>
      <c r="AI237" s="95"/>
      <c r="AJ237" s="95"/>
      <c r="AK237" s="95"/>
      <c r="AL237" s="95"/>
      <c r="AM237" s="95"/>
      <c r="AN237" s="95"/>
      <c r="AO237" s="95"/>
      <c r="AP237" s="95"/>
      <c r="AQ237" s="95"/>
      <c r="AR237" s="95"/>
      <c r="AS237" s="95"/>
    </row>
    <row r="238" ht="15.0" customHeight="1">
      <c r="AB238" s="95"/>
      <c r="AC238" s="95"/>
      <c r="AD238" s="95"/>
      <c r="AE238" s="95"/>
      <c r="AF238" s="95"/>
      <c r="AG238" s="95"/>
      <c r="AH238" s="95"/>
      <c r="AI238" s="95"/>
      <c r="AJ238" s="95"/>
      <c r="AK238" s="95"/>
      <c r="AL238" s="95"/>
      <c r="AM238" s="95"/>
      <c r="AN238" s="95"/>
      <c r="AO238" s="95"/>
      <c r="AP238" s="95"/>
      <c r="AQ238" s="95"/>
      <c r="AR238" s="95"/>
      <c r="AS238" s="95"/>
    </row>
    <row r="239" ht="15.0" customHeight="1">
      <c r="AB239" s="95"/>
      <c r="AC239" s="95"/>
      <c r="AD239" s="95"/>
      <c r="AE239" s="95"/>
      <c r="AF239" s="95"/>
      <c r="AG239" s="95"/>
      <c r="AH239" s="95"/>
      <c r="AI239" s="95"/>
      <c r="AJ239" s="95"/>
      <c r="AK239" s="95"/>
      <c r="AL239" s="95"/>
      <c r="AM239" s="95"/>
      <c r="AN239" s="95"/>
      <c r="AO239" s="95"/>
      <c r="AP239" s="95"/>
      <c r="AQ239" s="95"/>
      <c r="AR239" s="95"/>
      <c r="AS239" s="95"/>
    </row>
    <row r="240" ht="15.0" customHeight="1">
      <c r="AB240" s="95"/>
      <c r="AC240" s="95"/>
      <c r="AD240" s="95"/>
      <c r="AE240" s="95"/>
      <c r="AF240" s="95"/>
      <c r="AG240" s="95"/>
      <c r="AH240" s="95"/>
      <c r="AI240" s="95"/>
      <c r="AJ240" s="95"/>
      <c r="AK240" s="95"/>
      <c r="AL240" s="95"/>
      <c r="AM240" s="95"/>
      <c r="AN240" s="95"/>
      <c r="AO240" s="95"/>
      <c r="AP240" s="95"/>
      <c r="AQ240" s="95"/>
      <c r="AR240" s="95"/>
      <c r="AS240" s="95"/>
    </row>
    <row r="241" ht="15.0" customHeight="1">
      <c r="AB241" s="95"/>
      <c r="AC241" s="95"/>
      <c r="AD241" s="95"/>
      <c r="AE241" s="95"/>
      <c r="AF241" s="95"/>
      <c r="AG241" s="95"/>
      <c r="AH241" s="95"/>
      <c r="AI241" s="95"/>
      <c r="AJ241" s="95"/>
      <c r="AK241" s="95"/>
      <c r="AL241" s="95"/>
      <c r="AM241" s="95"/>
      <c r="AN241" s="95"/>
      <c r="AO241" s="95"/>
      <c r="AP241" s="95"/>
      <c r="AQ241" s="95"/>
      <c r="AR241" s="95"/>
      <c r="AS241" s="95"/>
    </row>
    <row r="242" ht="15.0" customHeight="1">
      <c r="AB242" s="95"/>
      <c r="AC242" s="95"/>
      <c r="AD242" s="95"/>
      <c r="AE242" s="95"/>
      <c r="AF242" s="95"/>
      <c r="AG242" s="95"/>
      <c r="AH242" s="95"/>
      <c r="AI242" s="95"/>
      <c r="AJ242" s="95"/>
      <c r="AK242" s="95"/>
      <c r="AL242" s="95"/>
      <c r="AM242" s="95"/>
      <c r="AN242" s="95"/>
      <c r="AO242" s="95"/>
      <c r="AP242" s="95"/>
      <c r="AQ242" s="95"/>
      <c r="AR242" s="95"/>
      <c r="AS242" s="95"/>
    </row>
    <row r="243" ht="15.0" customHeight="1">
      <c r="AB243" s="95"/>
      <c r="AC243" s="95"/>
      <c r="AD243" s="95"/>
      <c r="AE243" s="95"/>
      <c r="AF243" s="95"/>
      <c r="AG243" s="95"/>
      <c r="AH243" s="95"/>
      <c r="AI243" s="95"/>
      <c r="AJ243" s="95"/>
      <c r="AK243" s="95"/>
      <c r="AL243" s="95"/>
      <c r="AM243" s="95"/>
      <c r="AN243" s="95"/>
      <c r="AO243" s="95"/>
      <c r="AP243" s="95"/>
      <c r="AQ243" s="95"/>
      <c r="AR243" s="95"/>
      <c r="AS243" s="95"/>
    </row>
    <row r="244" ht="15.0" customHeight="1">
      <c r="AB244" s="95"/>
      <c r="AC244" s="95"/>
      <c r="AD244" s="95"/>
      <c r="AE244" s="95"/>
      <c r="AF244" s="95"/>
      <c r="AG244" s="95"/>
      <c r="AH244" s="95"/>
      <c r="AI244" s="95"/>
      <c r="AJ244" s="95"/>
      <c r="AK244" s="95"/>
      <c r="AL244" s="95"/>
      <c r="AM244" s="95"/>
      <c r="AN244" s="95"/>
      <c r="AO244" s="95"/>
      <c r="AP244" s="95"/>
      <c r="AQ244" s="95"/>
      <c r="AR244" s="95"/>
      <c r="AS244" s="95"/>
    </row>
    <row r="245" ht="15.0" customHeight="1">
      <c r="AB245" s="95"/>
      <c r="AC245" s="95"/>
      <c r="AD245" s="95"/>
      <c r="AE245" s="95"/>
      <c r="AF245" s="95"/>
      <c r="AG245" s="95"/>
      <c r="AH245" s="95"/>
      <c r="AI245" s="95"/>
      <c r="AJ245" s="95"/>
      <c r="AK245" s="95"/>
      <c r="AL245" s="95"/>
      <c r="AM245" s="95"/>
      <c r="AN245" s="95"/>
      <c r="AO245" s="95"/>
      <c r="AP245" s="95"/>
      <c r="AQ245" s="95"/>
      <c r="AR245" s="95"/>
      <c r="AS245" s="95"/>
    </row>
    <row r="246" ht="15.0" customHeight="1">
      <c r="AB246" s="95"/>
      <c r="AC246" s="95"/>
      <c r="AD246" s="95"/>
      <c r="AE246" s="95"/>
      <c r="AF246" s="95"/>
      <c r="AG246" s="95"/>
      <c r="AH246" s="95"/>
      <c r="AI246" s="95"/>
      <c r="AJ246" s="95"/>
      <c r="AK246" s="95"/>
      <c r="AL246" s="95"/>
      <c r="AM246" s="95"/>
      <c r="AN246" s="95"/>
      <c r="AO246" s="95"/>
      <c r="AP246" s="95"/>
      <c r="AQ246" s="95"/>
      <c r="AR246" s="95"/>
      <c r="AS246" s="95"/>
    </row>
    <row r="247" ht="15.0" customHeight="1">
      <c r="AB247" s="95"/>
      <c r="AC247" s="95"/>
      <c r="AD247" s="95"/>
      <c r="AE247" s="95"/>
      <c r="AF247" s="95"/>
      <c r="AG247" s="95"/>
      <c r="AH247" s="95"/>
      <c r="AI247" s="95"/>
      <c r="AJ247" s="95"/>
      <c r="AK247" s="95"/>
      <c r="AL247" s="95"/>
      <c r="AM247" s="95"/>
      <c r="AN247" s="95"/>
      <c r="AO247" s="95"/>
      <c r="AP247" s="95"/>
      <c r="AQ247" s="95"/>
      <c r="AR247" s="95"/>
      <c r="AS247" s="95"/>
    </row>
    <row r="248" ht="15.0" customHeight="1">
      <c r="AB248" s="95"/>
      <c r="AC248" s="95"/>
      <c r="AD248" s="95"/>
      <c r="AE248" s="95"/>
      <c r="AF248" s="95"/>
      <c r="AG248" s="95"/>
      <c r="AH248" s="95"/>
      <c r="AI248" s="95"/>
      <c r="AJ248" s="95"/>
      <c r="AK248" s="95"/>
      <c r="AL248" s="95"/>
      <c r="AM248" s="95"/>
      <c r="AN248" s="95"/>
      <c r="AO248" s="95"/>
      <c r="AP248" s="95"/>
      <c r="AQ248" s="95"/>
      <c r="AR248" s="95"/>
      <c r="AS248" s="95"/>
    </row>
    <row r="249" ht="15.0" customHeight="1">
      <c r="AB249" s="95"/>
      <c r="AC249" s="95"/>
      <c r="AD249" s="95"/>
      <c r="AE249" s="95"/>
      <c r="AF249" s="95"/>
      <c r="AG249" s="95"/>
      <c r="AH249" s="95"/>
      <c r="AI249" s="95"/>
      <c r="AJ249" s="95"/>
      <c r="AK249" s="95"/>
      <c r="AL249" s="95"/>
      <c r="AM249" s="95"/>
      <c r="AN249" s="95"/>
      <c r="AO249" s="95"/>
      <c r="AP249" s="95"/>
      <c r="AQ249" s="95"/>
      <c r="AR249" s="95"/>
      <c r="AS249" s="95"/>
    </row>
    <row r="250" ht="15.0" customHeight="1">
      <c r="AB250" s="95"/>
      <c r="AC250" s="95"/>
      <c r="AD250" s="95"/>
      <c r="AE250" s="95"/>
      <c r="AF250" s="95"/>
      <c r="AG250" s="95"/>
      <c r="AH250" s="95"/>
      <c r="AI250" s="95"/>
      <c r="AJ250" s="95"/>
      <c r="AK250" s="95"/>
      <c r="AL250" s="95"/>
      <c r="AM250" s="95"/>
      <c r="AN250" s="95"/>
      <c r="AO250" s="95"/>
      <c r="AP250" s="95"/>
      <c r="AQ250" s="95"/>
      <c r="AR250" s="95"/>
      <c r="AS250" s="95"/>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32">
    <mergeCell ref="J42:L42"/>
    <mergeCell ref="M42:O42"/>
    <mergeCell ref="P42:R42"/>
    <mergeCell ref="S42:U42"/>
    <mergeCell ref="V32:X32"/>
    <mergeCell ref="Y32:AA32"/>
    <mergeCell ref="V33:X33"/>
    <mergeCell ref="Y33:AA33"/>
    <mergeCell ref="A41:F42"/>
    <mergeCell ref="G41:AA41"/>
    <mergeCell ref="G42:I42"/>
    <mergeCell ref="V42:X42"/>
    <mergeCell ref="A1:F2"/>
    <mergeCell ref="G1:AA1"/>
    <mergeCell ref="G2:I2"/>
    <mergeCell ref="J2:L2"/>
    <mergeCell ref="M2:O2"/>
    <mergeCell ref="P2:R2"/>
    <mergeCell ref="S2:U2"/>
    <mergeCell ref="V2:X2"/>
    <mergeCell ref="V3:X3"/>
    <mergeCell ref="Y3:AA3"/>
    <mergeCell ref="V4:X4"/>
    <mergeCell ref="Y4:AA4"/>
    <mergeCell ref="V5:X5"/>
    <mergeCell ref="Y5:AA5"/>
    <mergeCell ref="V6:X6"/>
    <mergeCell ref="Y6:AA6"/>
    <mergeCell ref="V7:X7"/>
    <mergeCell ref="Y7:AA7"/>
    <mergeCell ref="V9:X9"/>
    <mergeCell ref="Y9:AA9"/>
    <mergeCell ref="Y10:AA10"/>
    <mergeCell ref="V10:X10"/>
    <mergeCell ref="V11:X11"/>
    <mergeCell ref="V12:X12"/>
    <mergeCell ref="V13:X13"/>
    <mergeCell ref="V14:X14"/>
    <mergeCell ref="V16:X16"/>
    <mergeCell ref="V17:X17"/>
    <mergeCell ref="Y11:AA11"/>
    <mergeCell ref="Y12:AA12"/>
    <mergeCell ref="Y13:AA13"/>
    <mergeCell ref="Y14:AA14"/>
    <mergeCell ref="Y16:AA16"/>
    <mergeCell ref="Y17:AA17"/>
    <mergeCell ref="Y18:AA18"/>
    <mergeCell ref="V18:X18"/>
    <mergeCell ref="V19:X19"/>
    <mergeCell ref="V20:X20"/>
    <mergeCell ref="V21:X21"/>
    <mergeCell ref="V22:X22"/>
    <mergeCell ref="V23:X23"/>
    <mergeCell ref="V26:X26"/>
    <mergeCell ref="V27:X27"/>
    <mergeCell ref="V28:X28"/>
    <mergeCell ref="V29:X29"/>
    <mergeCell ref="V30:X30"/>
    <mergeCell ref="Y30:AA30"/>
    <mergeCell ref="V31:X31"/>
    <mergeCell ref="Y31:AA31"/>
    <mergeCell ref="V71:X71"/>
    <mergeCell ref="V72:X72"/>
    <mergeCell ref="V73:X73"/>
    <mergeCell ref="V74:X74"/>
    <mergeCell ref="V75:X75"/>
    <mergeCell ref="V76:X76"/>
    <mergeCell ref="V79:X79"/>
    <mergeCell ref="V86:X86"/>
    <mergeCell ref="V63:X63"/>
    <mergeCell ref="V64:X64"/>
    <mergeCell ref="V65:X65"/>
    <mergeCell ref="V66:X66"/>
    <mergeCell ref="V67:X67"/>
    <mergeCell ref="V68:X68"/>
    <mergeCell ref="V70:X70"/>
    <mergeCell ref="Y19:AA19"/>
    <mergeCell ref="Y20:AA20"/>
    <mergeCell ref="Y21:AA21"/>
    <mergeCell ref="Y22:AA22"/>
    <mergeCell ref="Y23:AA23"/>
    <mergeCell ref="Y26:AA26"/>
    <mergeCell ref="Y27:AA27"/>
    <mergeCell ref="Y28:AA28"/>
    <mergeCell ref="Y29:AA29"/>
    <mergeCell ref="V40:X40"/>
    <mergeCell ref="Y40:AA40"/>
    <mergeCell ref="V43:X43"/>
    <mergeCell ref="Y43:AA43"/>
    <mergeCell ref="Y44:AA44"/>
    <mergeCell ref="V44:X44"/>
    <mergeCell ref="V45:X45"/>
    <mergeCell ref="V46:X46"/>
    <mergeCell ref="V47:X47"/>
    <mergeCell ref="V51:X51"/>
    <mergeCell ref="V52:X52"/>
    <mergeCell ref="V53:X53"/>
    <mergeCell ref="Y45:AA45"/>
    <mergeCell ref="Y46:AA46"/>
    <mergeCell ref="Y47:AA47"/>
    <mergeCell ref="Y51:AA51"/>
    <mergeCell ref="Y52:AA52"/>
    <mergeCell ref="Y53:AA53"/>
    <mergeCell ref="Y54:AA54"/>
    <mergeCell ref="V54:X54"/>
    <mergeCell ref="V55:X55"/>
    <mergeCell ref="V56:X56"/>
    <mergeCell ref="V59:X59"/>
    <mergeCell ref="V60:X60"/>
    <mergeCell ref="V61:X61"/>
    <mergeCell ref="V62:X62"/>
    <mergeCell ref="Y55:AA55"/>
    <mergeCell ref="Y56:AA56"/>
    <mergeCell ref="Y59:AA59"/>
    <mergeCell ref="Y60:AA60"/>
    <mergeCell ref="Y61:AA61"/>
    <mergeCell ref="Y62:AA62"/>
    <mergeCell ref="Y63:AA63"/>
    <mergeCell ref="Y72:AA72"/>
    <mergeCell ref="Y73:AA73"/>
    <mergeCell ref="Y74:AA74"/>
    <mergeCell ref="Y75:AA75"/>
    <mergeCell ref="Y76:AA76"/>
    <mergeCell ref="Y79:AA79"/>
    <mergeCell ref="Y86:AA86"/>
    <mergeCell ref="Y64:AA64"/>
    <mergeCell ref="Y65:AA65"/>
    <mergeCell ref="Y66:AA66"/>
    <mergeCell ref="Y67:AA67"/>
    <mergeCell ref="Y68:AA68"/>
    <mergeCell ref="Y70:AA70"/>
    <mergeCell ref="Y71:AA71"/>
  </mergeCells>
  <printOptions/>
  <pageMargins bottom="0.75" footer="0.0" header="0.0" left="0.7" right="0.7" top="0.75"/>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53.25"/>
    <col customWidth="1" min="3" max="3" width="13.13"/>
    <col customWidth="1" min="4" max="4" width="15.38"/>
    <col customWidth="1" min="5" max="5" width="12.13"/>
    <col customWidth="1" min="6" max="6" width="14.38"/>
    <col customWidth="1" min="7" max="7" width="10.75"/>
    <col customWidth="1" min="8" max="8" width="10.88"/>
    <col customWidth="1" min="9" max="9" width="13.25"/>
    <col customWidth="1" min="10" max="11" width="10.88"/>
    <col customWidth="1" min="12" max="12" width="13.25"/>
    <col customWidth="1" min="13" max="14" width="10.88"/>
    <col customWidth="1" min="15" max="15" width="13.25"/>
    <col customWidth="1" min="16" max="17" width="10.88"/>
    <col customWidth="1" min="18" max="21" width="13.25"/>
    <col customWidth="1" min="22" max="23" width="10.88"/>
    <col customWidth="1" min="24" max="24" width="13.25"/>
    <col customWidth="1" min="25" max="25" width="10.75"/>
    <col customWidth="1" min="26" max="26" width="15.13"/>
    <col customWidth="1" min="27" max="27" width="83.75"/>
    <col customWidth="1" min="28" max="28" width="20.0"/>
    <col customWidth="1" min="29" max="29" width="20.38"/>
    <col customWidth="1" min="30" max="30" width="21.88"/>
    <col customWidth="1" min="31" max="31" width="23.38"/>
    <col customWidth="1" min="32" max="45" width="8.88"/>
  </cols>
  <sheetData>
    <row r="1" ht="15.0" customHeight="1">
      <c r="A1" s="91" t="s">
        <v>65</v>
      </c>
      <c r="B1" s="70"/>
      <c r="C1" s="70"/>
      <c r="D1" s="70"/>
      <c r="E1" s="70"/>
      <c r="F1" s="71"/>
      <c r="G1" s="92" t="s">
        <v>0</v>
      </c>
      <c r="H1" s="93"/>
      <c r="I1" s="93"/>
      <c r="J1" s="93"/>
      <c r="K1" s="93"/>
      <c r="L1" s="93"/>
      <c r="M1" s="93"/>
      <c r="N1" s="93"/>
      <c r="O1" s="93"/>
      <c r="P1" s="93"/>
      <c r="Q1" s="93"/>
      <c r="R1" s="93"/>
      <c r="S1" s="93"/>
      <c r="T1" s="93"/>
      <c r="U1" s="93"/>
      <c r="V1" s="93"/>
      <c r="W1" s="93"/>
      <c r="X1" s="93"/>
      <c r="Y1" s="93"/>
      <c r="Z1" s="93"/>
      <c r="AA1" s="94"/>
      <c r="AB1" s="95"/>
      <c r="AC1" s="95"/>
      <c r="AD1" s="95"/>
      <c r="AE1" s="95"/>
      <c r="AF1" s="95"/>
      <c r="AG1" s="95"/>
      <c r="AH1" s="95"/>
      <c r="AI1" s="95"/>
      <c r="AJ1" s="95"/>
      <c r="AK1" s="95"/>
      <c r="AL1" s="95"/>
      <c r="AM1" s="95"/>
      <c r="AN1" s="95"/>
      <c r="AO1" s="95"/>
      <c r="AP1" s="95"/>
      <c r="AQ1" s="95"/>
      <c r="AR1" s="95"/>
      <c r="AS1" s="95"/>
    </row>
    <row r="2" ht="16.5" customHeight="1">
      <c r="A2" s="96"/>
      <c r="B2" s="97"/>
      <c r="C2" s="97"/>
      <c r="D2" s="97"/>
      <c r="E2" s="97"/>
      <c r="F2" s="98"/>
      <c r="G2" s="99" t="s">
        <v>1</v>
      </c>
      <c r="H2" s="12"/>
      <c r="I2" s="13"/>
      <c r="J2" s="100" t="s">
        <v>2</v>
      </c>
      <c r="K2" s="12"/>
      <c r="L2" s="13"/>
      <c r="M2" s="100" t="s">
        <v>3</v>
      </c>
      <c r="N2" s="12"/>
      <c r="O2" s="13"/>
      <c r="P2" s="100" t="s">
        <v>66</v>
      </c>
      <c r="Q2" s="12"/>
      <c r="R2" s="13"/>
      <c r="S2" s="101" t="s">
        <v>67</v>
      </c>
      <c r="T2" s="93"/>
      <c r="U2" s="94"/>
      <c r="V2" s="100" t="s">
        <v>4</v>
      </c>
      <c r="W2" s="12"/>
      <c r="X2" s="13"/>
      <c r="Y2" s="102"/>
      <c r="Z2" s="102"/>
      <c r="AA2" s="14"/>
      <c r="AB2" s="103"/>
      <c r="AC2" s="104"/>
      <c r="AD2" s="104"/>
      <c r="AE2" s="104"/>
      <c r="AF2" s="104"/>
      <c r="AG2" s="104"/>
      <c r="AH2" s="104"/>
      <c r="AI2" s="104"/>
      <c r="AJ2" s="104"/>
      <c r="AK2" s="105"/>
      <c r="AL2" s="95"/>
      <c r="AM2" s="95"/>
      <c r="AN2" s="95"/>
      <c r="AO2" s="95"/>
      <c r="AP2" s="95"/>
      <c r="AQ2" s="95"/>
      <c r="AR2" s="95"/>
      <c r="AS2" s="95"/>
    </row>
    <row r="3" ht="16.5" customHeight="1">
      <c r="A3" s="106" t="s">
        <v>68</v>
      </c>
      <c r="B3" s="107" t="s">
        <v>5</v>
      </c>
      <c r="C3" s="108" t="s">
        <v>6</v>
      </c>
      <c r="D3" s="108" t="s">
        <v>7</v>
      </c>
      <c r="E3" s="108" t="s">
        <v>8</v>
      </c>
      <c r="F3" s="108" t="s">
        <v>28</v>
      </c>
      <c r="G3" s="109" t="s">
        <v>10</v>
      </c>
      <c r="H3" s="110" t="s">
        <v>11</v>
      </c>
      <c r="I3" s="111" t="s">
        <v>12</v>
      </c>
      <c r="J3" s="109" t="s">
        <v>10</v>
      </c>
      <c r="K3" s="110" t="s">
        <v>11</v>
      </c>
      <c r="L3" s="111" t="s">
        <v>12</v>
      </c>
      <c r="M3" s="109" t="s">
        <v>10</v>
      </c>
      <c r="N3" s="110" t="s">
        <v>11</v>
      </c>
      <c r="O3" s="111" t="s">
        <v>12</v>
      </c>
      <c r="P3" s="109" t="s">
        <v>10</v>
      </c>
      <c r="Q3" s="110" t="s">
        <v>11</v>
      </c>
      <c r="R3" s="111" t="s">
        <v>12</v>
      </c>
      <c r="S3" s="109" t="s">
        <v>10</v>
      </c>
      <c r="T3" s="110" t="s">
        <v>11</v>
      </c>
      <c r="U3" s="111" t="s">
        <v>12</v>
      </c>
      <c r="V3" s="112" t="s">
        <v>13</v>
      </c>
      <c r="W3" s="93"/>
      <c r="X3" s="94"/>
      <c r="Y3" s="113" t="s">
        <v>69</v>
      </c>
      <c r="Z3" s="93"/>
      <c r="AA3" s="94"/>
      <c r="AB3" s="114"/>
      <c r="AC3" s="114"/>
      <c r="AD3" s="114"/>
      <c r="AE3" s="114"/>
      <c r="AF3" s="114"/>
      <c r="AG3" s="114"/>
      <c r="AH3" s="114"/>
      <c r="AI3" s="114"/>
      <c r="AJ3" s="114"/>
      <c r="AK3" s="115"/>
      <c r="AL3" s="95"/>
      <c r="AM3" s="95"/>
      <c r="AN3" s="95"/>
      <c r="AO3" s="95"/>
      <c r="AP3" s="95"/>
      <c r="AQ3" s="95"/>
      <c r="AR3" s="95"/>
      <c r="AS3" s="95"/>
    </row>
    <row r="4" ht="16.5" customHeight="1">
      <c r="A4" s="116" t="s">
        <v>70</v>
      </c>
      <c r="B4" s="117" t="s">
        <v>71</v>
      </c>
      <c r="C4" s="118" t="s">
        <v>15</v>
      </c>
      <c r="D4" s="119" t="s">
        <v>39</v>
      </c>
      <c r="E4" s="120"/>
      <c r="F4" s="119" t="s">
        <v>17</v>
      </c>
      <c r="G4" s="121">
        <v>30.0</v>
      </c>
      <c r="H4" s="122">
        <v>12.0</v>
      </c>
      <c r="I4" s="123">
        <f t="shared" ref="I4:I7" si="1">G4/(1.0278-(0.0278*H4))</f>
        <v>43.21521175</v>
      </c>
      <c r="J4" s="121">
        <v>35.0</v>
      </c>
      <c r="K4" s="122">
        <v>10.0</v>
      </c>
      <c r="L4" s="123">
        <f t="shared" ref="L4:L7" si="2">J4/(1.0278-(0.0278*K4))</f>
        <v>46.67911443</v>
      </c>
      <c r="M4" s="121">
        <v>40.0</v>
      </c>
      <c r="N4" s="122">
        <v>8.0</v>
      </c>
      <c r="O4" s="123">
        <f t="shared" ref="O4:O7" si="3">M4/(1.0278-(0.0278*N4))</f>
        <v>49.66476285</v>
      </c>
      <c r="P4" s="124"/>
      <c r="Q4" s="125"/>
      <c r="R4" s="123">
        <f t="shared" ref="R4:R7" si="4">P4/(1.0278-(0.0278*Q4))</f>
        <v>0</v>
      </c>
      <c r="S4" s="124"/>
      <c r="T4" s="125"/>
      <c r="U4" s="123">
        <f t="shared" ref="U4:U7" si="5">S4/(1.0278-(0.0278*T4))</f>
        <v>0</v>
      </c>
      <c r="V4" s="126">
        <f t="shared" ref="V4:V7" si="6">+G4*H4+J4*K4+M4*N4+P4*Q4+S4*T4</f>
        <v>1030</v>
      </c>
      <c r="W4" s="12"/>
      <c r="X4" s="13"/>
      <c r="Y4" s="127"/>
      <c r="Z4" s="128"/>
      <c r="AA4" s="129"/>
      <c r="AB4" s="114"/>
      <c r="AC4" s="114"/>
      <c r="AD4" s="114"/>
      <c r="AE4" s="114"/>
      <c r="AF4" s="114"/>
      <c r="AG4" s="114"/>
      <c r="AH4" s="114"/>
      <c r="AI4" s="114"/>
      <c r="AJ4" s="114"/>
      <c r="AK4" s="115"/>
      <c r="AL4" s="95"/>
      <c r="AM4" s="95"/>
      <c r="AN4" s="95"/>
      <c r="AO4" s="95"/>
      <c r="AP4" s="95"/>
      <c r="AQ4" s="95"/>
      <c r="AR4" s="95"/>
      <c r="AS4" s="95"/>
    </row>
    <row r="5" ht="16.5" customHeight="1">
      <c r="A5" s="116" t="s">
        <v>72</v>
      </c>
      <c r="B5" s="117" t="s">
        <v>73</v>
      </c>
      <c r="C5" s="118" t="s">
        <v>15</v>
      </c>
      <c r="D5" s="119" t="s">
        <v>39</v>
      </c>
      <c r="E5" s="120"/>
      <c r="F5" s="119" t="s">
        <v>17</v>
      </c>
      <c r="G5" s="124"/>
      <c r="H5" s="125"/>
      <c r="I5" s="123">
        <f t="shared" si="1"/>
        <v>0</v>
      </c>
      <c r="J5" s="124"/>
      <c r="K5" s="125"/>
      <c r="L5" s="123">
        <f t="shared" si="2"/>
        <v>0</v>
      </c>
      <c r="M5" s="124"/>
      <c r="N5" s="125"/>
      <c r="O5" s="123">
        <f t="shared" si="3"/>
        <v>0</v>
      </c>
      <c r="P5" s="124"/>
      <c r="Q5" s="125"/>
      <c r="R5" s="123">
        <f t="shared" si="4"/>
        <v>0</v>
      </c>
      <c r="S5" s="124"/>
      <c r="T5" s="125"/>
      <c r="U5" s="123">
        <f t="shared" si="5"/>
        <v>0</v>
      </c>
      <c r="V5" s="126">
        <f t="shared" si="6"/>
        <v>0</v>
      </c>
      <c r="W5" s="12"/>
      <c r="X5" s="13"/>
      <c r="Y5" s="127"/>
      <c r="Z5" s="128"/>
      <c r="AA5" s="129"/>
      <c r="AB5" s="114"/>
      <c r="AC5" s="114"/>
      <c r="AD5" s="114"/>
      <c r="AE5" s="114"/>
      <c r="AF5" s="114"/>
      <c r="AG5" s="114"/>
      <c r="AH5" s="114"/>
      <c r="AI5" s="114"/>
      <c r="AJ5" s="114"/>
      <c r="AK5" s="115"/>
      <c r="AL5" s="95"/>
      <c r="AM5" s="95"/>
      <c r="AN5" s="95"/>
      <c r="AO5" s="95"/>
      <c r="AP5" s="95"/>
      <c r="AQ5" s="95"/>
      <c r="AR5" s="95"/>
      <c r="AS5" s="95"/>
    </row>
    <row r="6" ht="16.5" customHeight="1">
      <c r="A6" s="116" t="s">
        <v>74</v>
      </c>
      <c r="B6" s="117" t="s">
        <v>75</v>
      </c>
      <c r="C6" s="118" t="s">
        <v>15</v>
      </c>
      <c r="D6" s="119" t="s">
        <v>76</v>
      </c>
      <c r="E6" s="120"/>
      <c r="F6" s="119" t="s">
        <v>17</v>
      </c>
      <c r="G6" s="124"/>
      <c r="H6" s="125"/>
      <c r="I6" s="123">
        <f t="shared" si="1"/>
        <v>0</v>
      </c>
      <c r="J6" s="124"/>
      <c r="K6" s="125"/>
      <c r="L6" s="123">
        <f t="shared" si="2"/>
        <v>0</v>
      </c>
      <c r="M6" s="124"/>
      <c r="N6" s="125"/>
      <c r="O6" s="123">
        <f t="shared" si="3"/>
        <v>0</v>
      </c>
      <c r="P6" s="124"/>
      <c r="Q6" s="125"/>
      <c r="R6" s="123">
        <f t="shared" si="4"/>
        <v>0</v>
      </c>
      <c r="S6" s="124"/>
      <c r="T6" s="125"/>
      <c r="U6" s="123">
        <f t="shared" si="5"/>
        <v>0</v>
      </c>
      <c r="V6" s="126">
        <f t="shared" si="6"/>
        <v>0</v>
      </c>
      <c r="W6" s="12"/>
      <c r="X6" s="13"/>
      <c r="Y6" s="127"/>
      <c r="Z6" s="128"/>
      <c r="AA6" s="129"/>
      <c r="AB6" s="114"/>
      <c r="AC6" s="114"/>
      <c r="AD6" s="114"/>
      <c r="AE6" s="114"/>
      <c r="AF6" s="114"/>
      <c r="AG6" s="114"/>
      <c r="AH6" s="114"/>
      <c r="AI6" s="114"/>
      <c r="AJ6" s="114"/>
      <c r="AK6" s="115"/>
      <c r="AL6" s="95"/>
      <c r="AM6" s="95"/>
      <c r="AN6" s="95"/>
      <c r="AO6" s="95"/>
      <c r="AP6" s="95"/>
      <c r="AQ6" s="95"/>
      <c r="AR6" s="95"/>
      <c r="AS6" s="95"/>
    </row>
    <row r="7" ht="16.5" customHeight="1">
      <c r="A7" s="116" t="s">
        <v>77</v>
      </c>
      <c r="B7" s="117" t="s">
        <v>78</v>
      </c>
      <c r="C7" s="118" t="s">
        <v>15</v>
      </c>
      <c r="D7" s="119" t="s">
        <v>39</v>
      </c>
      <c r="E7" s="120"/>
      <c r="F7" s="119" t="s">
        <v>17</v>
      </c>
      <c r="G7" s="124"/>
      <c r="H7" s="125"/>
      <c r="I7" s="123">
        <f t="shared" si="1"/>
        <v>0</v>
      </c>
      <c r="J7" s="124"/>
      <c r="K7" s="125"/>
      <c r="L7" s="123">
        <f t="shared" si="2"/>
        <v>0</v>
      </c>
      <c r="M7" s="124"/>
      <c r="N7" s="125"/>
      <c r="O7" s="123">
        <f t="shared" si="3"/>
        <v>0</v>
      </c>
      <c r="P7" s="124"/>
      <c r="Q7" s="125"/>
      <c r="R7" s="123">
        <f t="shared" si="4"/>
        <v>0</v>
      </c>
      <c r="S7" s="124"/>
      <c r="T7" s="125"/>
      <c r="U7" s="123">
        <f t="shared" si="5"/>
        <v>0</v>
      </c>
      <c r="V7" s="126">
        <f t="shared" si="6"/>
        <v>0</v>
      </c>
      <c r="W7" s="12"/>
      <c r="X7" s="13"/>
      <c r="Y7" s="127"/>
      <c r="Z7" s="128"/>
      <c r="AA7" s="129"/>
      <c r="AB7" s="114"/>
      <c r="AC7" s="114"/>
      <c r="AD7" s="114"/>
      <c r="AE7" s="114"/>
      <c r="AF7" s="114"/>
      <c r="AG7" s="114"/>
      <c r="AH7" s="114"/>
      <c r="AI7" s="114"/>
      <c r="AJ7" s="114"/>
      <c r="AK7" s="115"/>
      <c r="AL7" s="95"/>
      <c r="AM7" s="95"/>
      <c r="AN7" s="95"/>
      <c r="AO7" s="95"/>
      <c r="AP7" s="95"/>
      <c r="AQ7" s="95"/>
      <c r="AR7" s="95"/>
      <c r="AS7" s="95"/>
    </row>
    <row r="8" ht="16.5" customHeight="1">
      <c r="A8" s="130"/>
      <c r="B8" s="117" t="s">
        <v>79</v>
      </c>
      <c r="C8" s="118" t="s">
        <v>15</v>
      </c>
      <c r="D8" s="119" t="s">
        <v>80</v>
      </c>
      <c r="E8" s="120"/>
      <c r="F8" s="119" t="s">
        <v>81</v>
      </c>
      <c r="G8" s="124"/>
      <c r="H8" s="125"/>
      <c r="I8" s="123"/>
      <c r="J8" s="124"/>
      <c r="K8" s="125"/>
      <c r="L8" s="123"/>
      <c r="M8" s="124"/>
      <c r="N8" s="125"/>
      <c r="O8" s="123"/>
      <c r="P8" s="124"/>
      <c r="Q8" s="125"/>
      <c r="R8" s="123"/>
      <c r="S8" s="124"/>
      <c r="T8" s="125"/>
      <c r="U8" s="123"/>
      <c r="V8" s="131"/>
      <c r="W8" s="131"/>
      <c r="X8" s="131"/>
      <c r="Y8" s="132"/>
      <c r="Z8" s="132"/>
      <c r="AA8" s="132"/>
      <c r="AB8" s="114"/>
      <c r="AC8" s="114"/>
      <c r="AD8" s="114"/>
      <c r="AE8" s="114"/>
      <c r="AF8" s="114"/>
      <c r="AG8" s="114"/>
      <c r="AH8" s="114"/>
      <c r="AI8" s="114"/>
      <c r="AJ8" s="114"/>
      <c r="AK8" s="115"/>
      <c r="AL8" s="95"/>
      <c r="AM8" s="95"/>
      <c r="AN8" s="95"/>
      <c r="AO8" s="95"/>
      <c r="AP8" s="95"/>
      <c r="AQ8" s="95"/>
      <c r="AR8" s="95"/>
      <c r="AS8" s="95"/>
    </row>
    <row r="9" ht="16.5" customHeight="1">
      <c r="A9" s="130"/>
      <c r="B9" s="117" t="s">
        <v>82</v>
      </c>
      <c r="C9" s="133"/>
      <c r="D9" s="120"/>
      <c r="E9" s="120"/>
      <c r="F9" s="134" t="s">
        <v>83</v>
      </c>
      <c r="G9" s="124"/>
      <c r="H9" s="125"/>
      <c r="I9" s="123">
        <f>G9/(1.0278-(0.0278*H9))</f>
        <v>0</v>
      </c>
      <c r="J9" s="124"/>
      <c r="K9" s="125"/>
      <c r="L9" s="123">
        <f>J9/(1.0278-(0.0278*K9))</f>
        <v>0</v>
      </c>
      <c r="M9" s="124"/>
      <c r="N9" s="125"/>
      <c r="O9" s="123">
        <f>M9/(1.0278-(0.0278*N9))</f>
        <v>0</v>
      </c>
      <c r="P9" s="124"/>
      <c r="Q9" s="125"/>
      <c r="R9" s="123">
        <f>P9/(1.0278-(0.0278*Q9))</f>
        <v>0</v>
      </c>
      <c r="S9" s="124"/>
      <c r="T9" s="125"/>
      <c r="U9" s="123">
        <f>S9/(1.0278-(0.0278*T9))</f>
        <v>0</v>
      </c>
      <c r="V9" s="126">
        <f>+G9*H9+J9*K9+M9*N9+P9*Q9+S9*T9</f>
        <v>0</v>
      </c>
      <c r="W9" s="12"/>
      <c r="X9" s="13"/>
      <c r="Y9" s="127"/>
      <c r="Z9" s="128"/>
      <c r="AA9" s="129"/>
      <c r="AB9" s="114"/>
      <c r="AC9" s="114"/>
      <c r="AD9" s="114"/>
      <c r="AE9" s="114"/>
      <c r="AF9" s="114"/>
      <c r="AG9" s="114"/>
      <c r="AH9" s="114"/>
      <c r="AI9" s="114"/>
      <c r="AJ9" s="114"/>
      <c r="AK9" s="115"/>
      <c r="AL9" s="95"/>
      <c r="AM9" s="95"/>
      <c r="AN9" s="95"/>
      <c r="AO9" s="95"/>
      <c r="AP9" s="95"/>
      <c r="AQ9" s="95"/>
      <c r="AR9" s="95"/>
      <c r="AS9" s="95"/>
    </row>
    <row r="10" ht="16.5" customHeight="1">
      <c r="A10" s="106" t="s">
        <v>68</v>
      </c>
      <c r="B10" s="135" t="s">
        <v>27</v>
      </c>
      <c r="C10" s="108" t="s">
        <v>6</v>
      </c>
      <c r="D10" s="108" t="s">
        <v>7</v>
      </c>
      <c r="E10" s="108" t="s">
        <v>8</v>
      </c>
      <c r="F10" s="108" t="s">
        <v>28</v>
      </c>
      <c r="G10" s="109" t="s">
        <v>10</v>
      </c>
      <c r="H10" s="110" t="s">
        <v>11</v>
      </c>
      <c r="I10" s="111" t="s">
        <v>12</v>
      </c>
      <c r="J10" s="109" t="s">
        <v>10</v>
      </c>
      <c r="K10" s="110" t="s">
        <v>11</v>
      </c>
      <c r="L10" s="111" t="s">
        <v>12</v>
      </c>
      <c r="M10" s="109" t="s">
        <v>10</v>
      </c>
      <c r="N10" s="110" t="s">
        <v>11</v>
      </c>
      <c r="O10" s="111" t="s">
        <v>12</v>
      </c>
      <c r="P10" s="109" t="s">
        <v>10</v>
      </c>
      <c r="Q10" s="110" t="s">
        <v>11</v>
      </c>
      <c r="R10" s="111" t="s">
        <v>12</v>
      </c>
      <c r="S10" s="109" t="s">
        <v>10</v>
      </c>
      <c r="T10" s="110" t="s">
        <v>11</v>
      </c>
      <c r="U10" s="111" t="s">
        <v>12</v>
      </c>
      <c r="V10" s="112" t="s">
        <v>13</v>
      </c>
      <c r="W10" s="93"/>
      <c r="X10" s="94"/>
      <c r="Y10" s="113" t="s">
        <v>69</v>
      </c>
      <c r="Z10" s="93"/>
      <c r="AA10" s="94"/>
      <c r="AB10" s="114"/>
      <c r="AC10" s="114"/>
      <c r="AD10" s="114"/>
      <c r="AE10" s="114"/>
      <c r="AF10" s="114"/>
      <c r="AG10" s="114"/>
      <c r="AH10" s="114"/>
      <c r="AI10" s="114"/>
      <c r="AJ10" s="114"/>
      <c r="AK10" s="115"/>
      <c r="AL10" s="95"/>
      <c r="AM10" s="95"/>
      <c r="AN10" s="95"/>
      <c r="AO10" s="95"/>
      <c r="AP10" s="95"/>
      <c r="AQ10" s="95"/>
      <c r="AR10" s="95"/>
      <c r="AS10" s="95"/>
    </row>
    <row r="11" ht="15.75" customHeight="1">
      <c r="A11" s="116" t="s">
        <v>70</v>
      </c>
      <c r="B11" s="117" t="s">
        <v>84</v>
      </c>
      <c r="C11" s="118" t="s">
        <v>15</v>
      </c>
      <c r="D11" s="119" t="s">
        <v>39</v>
      </c>
      <c r="E11" s="120"/>
      <c r="F11" s="119" t="s">
        <v>17</v>
      </c>
      <c r="G11" s="124"/>
      <c r="H11" s="125"/>
      <c r="I11" s="123">
        <f t="shared" ref="I11:I14" si="7">G11/(1.0278-(0.0278*H11))</f>
        <v>0</v>
      </c>
      <c r="J11" s="124"/>
      <c r="K11" s="125"/>
      <c r="L11" s="123">
        <f t="shared" ref="L11:L14" si="8">J11/(1.0278-(0.0278*K11))</f>
        <v>0</v>
      </c>
      <c r="M11" s="124"/>
      <c r="N11" s="125"/>
      <c r="O11" s="123">
        <f t="shared" ref="O11:O14" si="9">M11/(1.0278-(0.0278*N11))</f>
        <v>0</v>
      </c>
      <c r="P11" s="124"/>
      <c r="Q11" s="125"/>
      <c r="R11" s="123">
        <f t="shared" ref="R11:R14" si="10">P11/(1.0278-(0.0278*Q11))</f>
        <v>0</v>
      </c>
      <c r="S11" s="124"/>
      <c r="T11" s="125"/>
      <c r="U11" s="123">
        <f t="shared" ref="U11:U14" si="11">S11/(1.0278-(0.0278*T11))</f>
        <v>0</v>
      </c>
      <c r="V11" s="126">
        <f t="shared" ref="V11:V14" si="12">+G11*H11+J11*K11+M11*N11+P11*Q11+S11*T11</f>
        <v>0</v>
      </c>
      <c r="W11" s="12"/>
      <c r="X11" s="13"/>
      <c r="Y11" s="127"/>
      <c r="Z11" s="128"/>
      <c r="AA11" s="129"/>
      <c r="AB11" s="114"/>
      <c r="AC11" s="114"/>
      <c r="AD11" s="114"/>
      <c r="AE11" s="114"/>
      <c r="AF11" s="114"/>
      <c r="AG11" s="114"/>
      <c r="AH11" s="114"/>
      <c r="AI11" s="114"/>
      <c r="AJ11" s="114"/>
      <c r="AK11" s="115"/>
      <c r="AL11" s="95"/>
      <c r="AM11" s="95"/>
      <c r="AN11" s="95"/>
      <c r="AO11" s="95"/>
      <c r="AP11" s="95"/>
      <c r="AQ11" s="95"/>
      <c r="AR11" s="95"/>
      <c r="AS11" s="95"/>
    </row>
    <row r="12" ht="15.75" customHeight="1">
      <c r="A12" s="116" t="s">
        <v>72</v>
      </c>
      <c r="B12" s="117" t="s">
        <v>85</v>
      </c>
      <c r="C12" s="118" t="s">
        <v>15</v>
      </c>
      <c r="D12" s="119" t="s">
        <v>39</v>
      </c>
      <c r="E12" s="120"/>
      <c r="F12" s="119" t="s">
        <v>17</v>
      </c>
      <c r="G12" s="124"/>
      <c r="H12" s="125"/>
      <c r="I12" s="123">
        <f t="shared" si="7"/>
        <v>0</v>
      </c>
      <c r="J12" s="124"/>
      <c r="K12" s="125"/>
      <c r="L12" s="123">
        <f t="shared" si="8"/>
        <v>0</v>
      </c>
      <c r="M12" s="124"/>
      <c r="N12" s="125"/>
      <c r="O12" s="123">
        <f t="shared" si="9"/>
        <v>0</v>
      </c>
      <c r="P12" s="124"/>
      <c r="Q12" s="125"/>
      <c r="R12" s="123">
        <f t="shared" si="10"/>
        <v>0</v>
      </c>
      <c r="S12" s="124"/>
      <c r="T12" s="125"/>
      <c r="U12" s="123">
        <f t="shared" si="11"/>
        <v>0</v>
      </c>
      <c r="V12" s="126">
        <f t="shared" si="12"/>
        <v>0</v>
      </c>
      <c r="W12" s="12"/>
      <c r="X12" s="13"/>
      <c r="Y12" s="127"/>
      <c r="Z12" s="128"/>
      <c r="AA12" s="129"/>
      <c r="AB12" s="114"/>
      <c r="AC12" s="114"/>
      <c r="AD12" s="114"/>
      <c r="AE12" s="114"/>
      <c r="AF12" s="114"/>
      <c r="AG12" s="114"/>
      <c r="AH12" s="114"/>
      <c r="AI12" s="114"/>
      <c r="AJ12" s="114"/>
      <c r="AK12" s="115"/>
      <c r="AL12" s="95"/>
      <c r="AM12" s="95"/>
      <c r="AN12" s="95"/>
      <c r="AO12" s="95"/>
      <c r="AP12" s="95"/>
      <c r="AQ12" s="95"/>
      <c r="AR12" s="95"/>
      <c r="AS12" s="95"/>
    </row>
    <row r="13" ht="15.75" customHeight="1">
      <c r="A13" s="116" t="s">
        <v>74</v>
      </c>
      <c r="B13" s="117" t="s">
        <v>32</v>
      </c>
      <c r="C13" s="118" t="s">
        <v>15</v>
      </c>
      <c r="D13" s="119" t="s">
        <v>39</v>
      </c>
      <c r="E13" s="136"/>
      <c r="F13" s="137">
        <v>60.0</v>
      </c>
      <c r="G13" s="124"/>
      <c r="H13" s="125"/>
      <c r="I13" s="123">
        <f t="shared" si="7"/>
        <v>0</v>
      </c>
      <c r="J13" s="124"/>
      <c r="K13" s="125"/>
      <c r="L13" s="123">
        <f t="shared" si="8"/>
        <v>0</v>
      </c>
      <c r="M13" s="124"/>
      <c r="N13" s="125"/>
      <c r="O13" s="123">
        <f t="shared" si="9"/>
        <v>0</v>
      </c>
      <c r="P13" s="124"/>
      <c r="Q13" s="125"/>
      <c r="R13" s="123">
        <f t="shared" si="10"/>
        <v>0</v>
      </c>
      <c r="S13" s="124"/>
      <c r="T13" s="125"/>
      <c r="U13" s="123">
        <f t="shared" si="11"/>
        <v>0</v>
      </c>
      <c r="V13" s="126">
        <f t="shared" si="12"/>
        <v>0</v>
      </c>
      <c r="W13" s="12"/>
      <c r="X13" s="13"/>
      <c r="Y13" s="127"/>
      <c r="Z13" s="128"/>
      <c r="AA13" s="129"/>
      <c r="AB13" s="114"/>
      <c r="AC13" s="114"/>
      <c r="AD13" s="114"/>
      <c r="AE13" s="114"/>
      <c r="AF13" s="114"/>
      <c r="AG13" s="114"/>
      <c r="AH13" s="114"/>
      <c r="AI13" s="114"/>
      <c r="AJ13" s="114"/>
      <c r="AK13" s="115"/>
      <c r="AL13" s="95"/>
      <c r="AM13" s="95"/>
      <c r="AN13" s="95"/>
      <c r="AO13" s="95"/>
      <c r="AP13" s="95"/>
      <c r="AQ13" s="95"/>
      <c r="AR13" s="95"/>
      <c r="AS13" s="95"/>
    </row>
    <row r="14" ht="15.75" customHeight="1">
      <c r="A14" s="116" t="s">
        <v>77</v>
      </c>
      <c r="B14" s="117" t="s">
        <v>86</v>
      </c>
      <c r="C14" s="138" t="s">
        <v>15</v>
      </c>
      <c r="D14" s="119" t="s">
        <v>39</v>
      </c>
      <c r="E14" s="136"/>
      <c r="F14" s="137">
        <v>60.0</v>
      </c>
      <c r="G14" s="124"/>
      <c r="H14" s="125"/>
      <c r="I14" s="123">
        <f t="shared" si="7"/>
        <v>0</v>
      </c>
      <c r="J14" s="124"/>
      <c r="K14" s="125"/>
      <c r="L14" s="123">
        <f t="shared" si="8"/>
        <v>0</v>
      </c>
      <c r="M14" s="124"/>
      <c r="N14" s="125"/>
      <c r="O14" s="123">
        <f t="shared" si="9"/>
        <v>0</v>
      </c>
      <c r="P14" s="124"/>
      <c r="Q14" s="125"/>
      <c r="R14" s="123">
        <f t="shared" si="10"/>
        <v>0</v>
      </c>
      <c r="S14" s="124"/>
      <c r="T14" s="125"/>
      <c r="U14" s="123">
        <f t="shared" si="11"/>
        <v>0</v>
      </c>
      <c r="V14" s="126">
        <f t="shared" si="12"/>
        <v>0</v>
      </c>
      <c r="W14" s="12"/>
      <c r="X14" s="13"/>
      <c r="Y14" s="127"/>
      <c r="Z14" s="128"/>
      <c r="AA14" s="129"/>
      <c r="AB14" s="114"/>
      <c r="AC14" s="114"/>
      <c r="AD14" s="114"/>
      <c r="AE14" s="114"/>
      <c r="AF14" s="114"/>
      <c r="AG14" s="114"/>
      <c r="AH14" s="114"/>
      <c r="AI14" s="114"/>
      <c r="AJ14" s="114"/>
      <c r="AK14" s="115"/>
      <c r="AL14" s="95"/>
      <c r="AM14" s="95"/>
      <c r="AN14" s="95"/>
      <c r="AO14" s="95"/>
      <c r="AP14" s="95"/>
      <c r="AQ14" s="95"/>
      <c r="AR14" s="95"/>
      <c r="AS14" s="95"/>
    </row>
    <row r="15" ht="15.75" customHeight="1">
      <c r="A15" s="130"/>
      <c r="B15" s="117" t="s">
        <v>87</v>
      </c>
      <c r="C15" s="118" t="s">
        <v>15</v>
      </c>
      <c r="D15" s="119" t="s">
        <v>39</v>
      </c>
      <c r="E15" s="136"/>
      <c r="F15" s="137"/>
      <c r="G15" s="124"/>
      <c r="H15" s="125"/>
      <c r="I15" s="123"/>
      <c r="J15" s="124"/>
      <c r="K15" s="125"/>
      <c r="L15" s="123"/>
      <c r="M15" s="124"/>
      <c r="N15" s="125"/>
      <c r="O15" s="123"/>
      <c r="P15" s="124"/>
      <c r="Q15" s="125"/>
      <c r="R15" s="123"/>
      <c r="S15" s="124"/>
      <c r="T15" s="125"/>
      <c r="U15" s="123"/>
      <c r="V15" s="131"/>
      <c r="W15" s="131"/>
      <c r="X15" s="131"/>
      <c r="Y15" s="132"/>
      <c r="Z15" s="132"/>
      <c r="AA15" s="132"/>
      <c r="AB15" s="114"/>
      <c r="AC15" s="114"/>
      <c r="AD15" s="114"/>
      <c r="AE15" s="114"/>
      <c r="AF15" s="114"/>
      <c r="AG15" s="114"/>
      <c r="AH15" s="114"/>
      <c r="AI15" s="114"/>
      <c r="AJ15" s="114"/>
      <c r="AK15" s="115"/>
      <c r="AL15" s="95"/>
      <c r="AM15" s="95"/>
      <c r="AN15" s="95"/>
      <c r="AO15" s="95"/>
      <c r="AP15" s="95"/>
      <c r="AQ15" s="95"/>
      <c r="AR15" s="95"/>
      <c r="AS15" s="95"/>
    </row>
    <row r="16" ht="15.75" customHeight="1">
      <c r="A16" s="130"/>
      <c r="B16" s="117" t="s">
        <v>88</v>
      </c>
      <c r="C16" s="118" t="s">
        <v>15</v>
      </c>
      <c r="D16" s="119" t="s">
        <v>89</v>
      </c>
      <c r="E16" s="136"/>
      <c r="F16" s="137">
        <v>60.0</v>
      </c>
      <c r="G16" s="124"/>
      <c r="H16" s="125"/>
      <c r="I16" s="123">
        <f>G16/(1.0278-(0.0278*H16))</f>
        <v>0</v>
      </c>
      <c r="J16" s="124"/>
      <c r="K16" s="125"/>
      <c r="L16" s="123">
        <f>J16/(1.0278-(0.0278*K16))</f>
        <v>0</v>
      </c>
      <c r="M16" s="124"/>
      <c r="N16" s="125"/>
      <c r="O16" s="123">
        <f>M16/(1.0278-(0.0278*N16))</f>
        <v>0</v>
      </c>
      <c r="P16" s="124"/>
      <c r="Q16" s="125"/>
      <c r="R16" s="123">
        <f>P16/(1.0278-(0.0278*Q16))</f>
        <v>0</v>
      </c>
      <c r="S16" s="124"/>
      <c r="T16" s="125"/>
      <c r="U16" s="123">
        <f>S16/(1.0278-(0.0278*T16))</f>
        <v>0</v>
      </c>
      <c r="V16" s="126">
        <f>+G16*H16+J16*K16+M16*N16+P16*Q16+S16*T16</f>
        <v>0</v>
      </c>
      <c r="W16" s="12"/>
      <c r="X16" s="13"/>
      <c r="Y16" s="127"/>
      <c r="Z16" s="128"/>
      <c r="AA16" s="129"/>
      <c r="AB16" s="114"/>
      <c r="AC16" s="114"/>
      <c r="AD16" s="114"/>
      <c r="AE16" s="114"/>
      <c r="AF16" s="114"/>
      <c r="AG16" s="114"/>
      <c r="AH16" s="114"/>
      <c r="AI16" s="114"/>
      <c r="AJ16" s="114"/>
      <c r="AK16" s="115"/>
      <c r="AL16" s="95"/>
      <c r="AM16" s="95"/>
      <c r="AN16" s="95"/>
      <c r="AO16" s="95"/>
      <c r="AP16" s="95"/>
      <c r="AQ16" s="95"/>
      <c r="AR16" s="95"/>
      <c r="AS16" s="95"/>
    </row>
    <row r="17" ht="16.5" customHeight="1">
      <c r="A17" s="106" t="s">
        <v>68</v>
      </c>
      <c r="B17" s="135" t="s">
        <v>35</v>
      </c>
      <c r="C17" s="108" t="s">
        <v>6</v>
      </c>
      <c r="D17" s="108" t="s">
        <v>7</v>
      </c>
      <c r="E17" s="108" t="s">
        <v>8</v>
      </c>
      <c r="F17" s="108" t="s">
        <v>28</v>
      </c>
      <c r="G17" s="109" t="s">
        <v>10</v>
      </c>
      <c r="H17" s="110" t="s">
        <v>11</v>
      </c>
      <c r="I17" s="111" t="s">
        <v>12</v>
      </c>
      <c r="J17" s="109" t="s">
        <v>10</v>
      </c>
      <c r="K17" s="110" t="s">
        <v>11</v>
      </c>
      <c r="L17" s="111" t="s">
        <v>12</v>
      </c>
      <c r="M17" s="109" t="s">
        <v>10</v>
      </c>
      <c r="N17" s="110" t="s">
        <v>11</v>
      </c>
      <c r="O17" s="111" t="s">
        <v>12</v>
      </c>
      <c r="P17" s="109" t="s">
        <v>10</v>
      </c>
      <c r="Q17" s="110" t="s">
        <v>11</v>
      </c>
      <c r="R17" s="111" t="s">
        <v>12</v>
      </c>
      <c r="S17" s="109" t="s">
        <v>10</v>
      </c>
      <c r="T17" s="110" t="s">
        <v>11</v>
      </c>
      <c r="U17" s="111" t="s">
        <v>12</v>
      </c>
      <c r="V17" s="112" t="s">
        <v>13</v>
      </c>
      <c r="W17" s="93"/>
      <c r="X17" s="94"/>
      <c r="Y17" s="113" t="s">
        <v>69</v>
      </c>
      <c r="Z17" s="93"/>
      <c r="AA17" s="94"/>
      <c r="AB17" s="114"/>
      <c r="AC17" s="114"/>
      <c r="AD17" s="114"/>
      <c r="AE17" s="114"/>
      <c r="AF17" s="114"/>
      <c r="AG17" s="114"/>
      <c r="AH17" s="114"/>
      <c r="AI17" s="114"/>
      <c r="AJ17" s="114"/>
      <c r="AK17" s="115"/>
      <c r="AL17" s="95"/>
      <c r="AM17" s="95"/>
      <c r="AN17" s="95"/>
      <c r="AO17" s="95"/>
      <c r="AP17" s="95"/>
      <c r="AQ17" s="95"/>
      <c r="AR17" s="95"/>
      <c r="AS17" s="95"/>
    </row>
    <row r="18" ht="16.5" customHeight="1">
      <c r="A18" s="139" t="s">
        <v>90</v>
      </c>
      <c r="B18" s="140" t="s">
        <v>91</v>
      </c>
      <c r="C18" s="141"/>
      <c r="D18" s="142"/>
      <c r="E18" s="142"/>
      <c r="F18" s="142"/>
      <c r="G18" s="124"/>
      <c r="H18" s="125"/>
      <c r="I18" s="123">
        <f>G18/(1.0278-(0.0278*H18))</f>
        <v>0</v>
      </c>
      <c r="J18" s="124"/>
      <c r="K18" s="125"/>
      <c r="L18" s="123">
        <f>J18/(1.0278-(0.0278*K18))</f>
        <v>0</v>
      </c>
      <c r="M18" s="124"/>
      <c r="N18" s="125"/>
      <c r="O18" s="123">
        <f>M18/(1.0278-(0.0278*N18))</f>
        <v>0</v>
      </c>
      <c r="P18" s="124"/>
      <c r="Q18" s="125"/>
      <c r="R18" s="123">
        <f>P18/(1.0278-(0.0278*Q18))</f>
        <v>0</v>
      </c>
      <c r="S18" s="124"/>
      <c r="T18" s="125"/>
      <c r="U18" s="123">
        <f>S18/(1.0278-(0.0278*T18))</f>
        <v>0</v>
      </c>
      <c r="V18" s="126">
        <f>+G18*H18+J18*K18+M18*N18+P18*Q18+S18*T18</f>
        <v>0</v>
      </c>
      <c r="W18" s="12"/>
      <c r="X18" s="13"/>
      <c r="Y18" s="127"/>
      <c r="Z18" s="128"/>
      <c r="AA18" s="129"/>
      <c r="AB18" s="114"/>
      <c r="AC18" s="114"/>
      <c r="AD18" s="114"/>
      <c r="AE18" s="114"/>
      <c r="AF18" s="114"/>
      <c r="AG18" s="114"/>
      <c r="AH18" s="114"/>
      <c r="AI18" s="114"/>
      <c r="AJ18" s="114"/>
      <c r="AK18" s="115"/>
      <c r="AL18" s="95"/>
      <c r="AM18" s="95"/>
      <c r="AN18" s="95"/>
      <c r="AO18" s="95"/>
      <c r="AP18" s="95"/>
      <c r="AQ18" s="95"/>
      <c r="AR18" s="95"/>
      <c r="AS18" s="95"/>
    </row>
    <row r="19" ht="16.5" customHeight="1">
      <c r="A19" s="106" t="s">
        <v>68</v>
      </c>
      <c r="B19" s="135" t="s">
        <v>37</v>
      </c>
      <c r="C19" s="143" t="s">
        <v>6</v>
      </c>
      <c r="D19" s="143" t="s">
        <v>7</v>
      </c>
      <c r="E19" s="144" t="s">
        <v>8</v>
      </c>
      <c r="F19" s="108" t="s">
        <v>28</v>
      </c>
      <c r="G19" s="109" t="s">
        <v>10</v>
      </c>
      <c r="H19" s="110" t="s">
        <v>11</v>
      </c>
      <c r="I19" s="111" t="s">
        <v>12</v>
      </c>
      <c r="J19" s="109" t="s">
        <v>10</v>
      </c>
      <c r="K19" s="110" t="s">
        <v>11</v>
      </c>
      <c r="L19" s="111" t="s">
        <v>12</v>
      </c>
      <c r="M19" s="109" t="s">
        <v>10</v>
      </c>
      <c r="N19" s="110" t="s">
        <v>11</v>
      </c>
      <c r="O19" s="111" t="s">
        <v>12</v>
      </c>
      <c r="P19" s="109" t="s">
        <v>10</v>
      </c>
      <c r="Q19" s="110" t="s">
        <v>11</v>
      </c>
      <c r="R19" s="111" t="s">
        <v>12</v>
      </c>
      <c r="S19" s="109" t="s">
        <v>10</v>
      </c>
      <c r="T19" s="110" t="s">
        <v>11</v>
      </c>
      <c r="U19" s="111" t="s">
        <v>12</v>
      </c>
      <c r="V19" s="112" t="s">
        <v>13</v>
      </c>
      <c r="W19" s="93"/>
      <c r="X19" s="94"/>
      <c r="Y19" s="113" t="s">
        <v>69</v>
      </c>
      <c r="Z19" s="93"/>
      <c r="AA19" s="94"/>
      <c r="AB19" s="114"/>
      <c r="AC19" s="114"/>
      <c r="AD19" s="114"/>
      <c r="AE19" s="114"/>
      <c r="AF19" s="114"/>
      <c r="AG19" s="114"/>
      <c r="AH19" s="114"/>
      <c r="AI19" s="114"/>
      <c r="AJ19" s="114"/>
      <c r="AK19" s="115"/>
      <c r="AL19" s="95"/>
      <c r="AM19" s="95"/>
      <c r="AN19" s="95"/>
      <c r="AO19" s="95"/>
      <c r="AP19" s="95"/>
      <c r="AQ19" s="95"/>
      <c r="AR19" s="95"/>
      <c r="AS19" s="95"/>
    </row>
    <row r="20" ht="16.5" customHeight="1">
      <c r="A20" s="145" t="s">
        <v>92</v>
      </c>
      <c r="B20" s="140" t="s">
        <v>93</v>
      </c>
      <c r="C20" s="146" t="s">
        <v>94</v>
      </c>
      <c r="D20" s="147" t="s">
        <v>39</v>
      </c>
      <c r="E20" s="142"/>
      <c r="F20" s="147" t="s">
        <v>17</v>
      </c>
      <c r="G20" s="124"/>
      <c r="H20" s="125"/>
      <c r="I20" s="123">
        <f t="shared" ref="I20:I23" si="13">G20/(1.0278-(0.0278*H20))</f>
        <v>0</v>
      </c>
      <c r="J20" s="124"/>
      <c r="K20" s="125"/>
      <c r="L20" s="123">
        <f t="shared" ref="L20:L23" si="14">J20/(1.0278-(0.0278*K20))</f>
        <v>0</v>
      </c>
      <c r="M20" s="124"/>
      <c r="N20" s="125"/>
      <c r="O20" s="123">
        <f t="shared" ref="O20:O23" si="15">M20/(1.0278-(0.0278*N20))</f>
        <v>0</v>
      </c>
      <c r="P20" s="124"/>
      <c r="Q20" s="125"/>
      <c r="R20" s="123">
        <f t="shared" ref="R20:R23" si="16">P20/(1.0278-(0.0278*Q20))</f>
        <v>0</v>
      </c>
      <c r="S20" s="124"/>
      <c r="T20" s="125"/>
      <c r="U20" s="123">
        <f t="shared" ref="U20:U23" si="17">S20/(1.0278-(0.0278*T20))</f>
        <v>0</v>
      </c>
      <c r="V20" s="126">
        <f t="shared" ref="V20:V23" si="18">+G20*H20+J20*K20+M20*N20+P20*Q20+S20*T20</f>
        <v>0</v>
      </c>
      <c r="W20" s="12"/>
      <c r="X20" s="13"/>
      <c r="Y20" s="148"/>
      <c r="Z20" s="128"/>
      <c r="AA20" s="129"/>
      <c r="AB20" s="114"/>
      <c r="AC20" s="114"/>
      <c r="AD20" s="114"/>
      <c r="AE20" s="114"/>
      <c r="AF20" s="114"/>
      <c r="AG20" s="114"/>
      <c r="AH20" s="114"/>
      <c r="AI20" s="114"/>
      <c r="AJ20" s="114"/>
      <c r="AK20" s="115"/>
      <c r="AL20" s="95"/>
      <c r="AM20" s="95"/>
      <c r="AN20" s="95"/>
      <c r="AO20" s="95"/>
      <c r="AP20" s="95"/>
      <c r="AQ20" s="95"/>
      <c r="AR20" s="95"/>
      <c r="AS20" s="95"/>
    </row>
    <row r="21" ht="16.5" customHeight="1">
      <c r="A21" s="116" t="s">
        <v>95</v>
      </c>
      <c r="B21" s="117" t="s">
        <v>96</v>
      </c>
      <c r="C21" s="138" t="s">
        <v>15</v>
      </c>
      <c r="D21" s="119" t="s">
        <v>39</v>
      </c>
      <c r="E21" s="120"/>
      <c r="F21" s="119" t="s">
        <v>17</v>
      </c>
      <c r="G21" s="124"/>
      <c r="H21" s="125"/>
      <c r="I21" s="123">
        <f t="shared" si="13"/>
        <v>0</v>
      </c>
      <c r="J21" s="124"/>
      <c r="K21" s="125"/>
      <c r="L21" s="123">
        <f t="shared" si="14"/>
        <v>0</v>
      </c>
      <c r="M21" s="124"/>
      <c r="N21" s="125"/>
      <c r="O21" s="123">
        <f t="shared" si="15"/>
        <v>0</v>
      </c>
      <c r="P21" s="124"/>
      <c r="Q21" s="125"/>
      <c r="R21" s="123">
        <f t="shared" si="16"/>
        <v>0</v>
      </c>
      <c r="S21" s="124"/>
      <c r="T21" s="125"/>
      <c r="U21" s="123">
        <f t="shared" si="17"/>
        <v>0</v>
      </c>
      <c r="V21" s="126">
        <f t="shared" si="18"/>
        <v>0</v>
      </c>
      <c r="W21" s="12"/>
      <c r="X21" s="13"/>
      <c r="Y21" s="127"/>
      <c r="Z21" s="128"/>
      <c r="AA21" s="129"/>
      <c r="AB21" s="114"/>
      <c r="AC21" s="114"/>
      <c r="AD21" s="114"/>
      <c r="AE21" s="114"/>
      <c r="AF21" s="114"/>
      <c r="AG21" s="114"/>
      <c r="AH21" s="114"/>
      <c r="AI21" s="114"/>
      <c r="AJ21" s="114"/>
      <c r="AK21" s="115"/>
      <c r="AL21" s="95"/>
      <c r="AM21" s="95"/>
      <c r="AN21" s="95"/>
      <c r="AO21" s="95"/>
      <c r="AP21" s="95"/>
      <c r="AQ21" s="95"/>
      <c r="AR21" s="95"/>
      <c r="AS21" s="95"/>
    </row>
    <row r="22" ht="15.75" customHeight="1">
      <c r="A22" s="116" t="s">
        <v>97</v>
      </c>
      <c r="B22" s="117" t="s">
        <v>98</v>
      </c>
      <c r="C22" s="118" t="s">
        <v>15</v>
      </c>
      <c r="D22" s="119" t="s">
        <v>39</v>
      </c>
      <c r="E22" s="120"/>
      <c r="F22" s="119" t="s">
        <v>17</v>
      </c>
      <c r="G22" s="124"/>
      <c r="H22" s="125"/>
      <c r="I22" s="123">
        <f t="shared" si="13"/>
        <v>0</v>
      </c>
      <c r="J22" s="124"/>
      <c r="K22" s="125"/>
      <c r="L22" s="123">
        <f t="shared" si="14"/>
        <v>0</v>
      </c>
      <c r="M22" s="124"/>
      <c r="N22" s="125"/>
      <c r="O22" s="123">
        <f t="shared" si="15"/>
        <v>0</v>
      </c>
      <c r="P22" s="124"/>
      <c r="Q22" s="125"/>
      <c r="R22" s="123">
        <f t="shared" si="16"/>
        <v>0</v>
      </c>
      <c r="S22" s="124"/>
      <c r="T22" s="125"/>
      <c r="U22" s="123">
        <f t="shared" si="17"/>
        <v>0</v>
      </c>
      <c r="V22" s="126">
        <f t="shared" si="18"/>
        <v>0</v>
      </c>
      <c r="W22" s="12"/>
      <c r="X22" s="13"/>
      <c r="Y22" s="127"/>
      <c r="Z22" s="128"/>
      <c r="AA22" s="129"/>
      <c r="AB22" s="114"/>
      <c r="AC22" s="114"/>
      <c r="AD22" s="114"/>
      <c r="AE22" s="114"/>
      <c r="AF22" s="114"/>
      <c r="AG22" s="114"/>
      <c r="AH22" s="114"/>
      <c r="AI22" s="114"/>
      <c r="AJ22" s="114"/>
      <c r="AK22" s="115"/>
      <c r="AL22" s="95"/>
      <c r="AM22" s="95"/>
      <c r="AN22" s="95"/>
      <c r="AO22" s="95"/>
      <c r="AP22" s="95"/>
      <c r="AQ22" s="95"/>
      <c r="AR22" s="95"/>
      <c r="AS22" s="95"/>
    </row>
    <row r="23" ht="15.75" customHeight="1">
      <c r="A23" s="116" t="s">
        <v>99</v>
      </c>
      <c r="B23" s="117" t="s">
        <v>100</v>
      </c>
      <c r="C23" s="138" t="s">
        <v>15</v>
      </c>
      <c r="D23" s="119" t="s">
        <v>39</v>
      </c>
      <c r="E23" s="120"/>
      <c r="F23" s="119" t="s">
        <v>17</v>
      </c>
      <c r="G23" s="124"/>
      <c r="H23" s="125"/>
      <c r="I23" s="123">
        <f t="shared" si="13"/>
        <v>0</v>
      </c>
      <c r="J23" s="124"/>
      <c r="K23" s="125"/>
      <c r="L23" s="123">
        <f t="shared" si="14"/>
        <v>0</v>
      </c>
      <c r="M23" s="124"/>
      <c r="N23" s="125"/>
      <c r="O23" s="123">
        <f t="shared" si="15"/>
        <v>0</v>
      </c>
      <c r="P23" s="124"/>
      <c r="Q23" s="125"/>
      <c r="R23" s="123">
        <f t="shared" si="16"/>
        <v>0</v>
      </c>
      <c r="S23" s="124"/>
      <c r="T23" s="125"/>
      <c r="U23" s="123">
        <f t="shared" si="17"/>
        <v>0</v>
      </c>
      <c r="V23" s="126">
        <f t="shared" si="18"/>
        <v>0</v>
      </c>
      <c r="W23" s="12"/>
      <c r="X23" s="13"/>
      <c r="Y23" s="127"/>
      <c r="Z23" s="128"/>
      <c r="AA23" s="129"/>
      <c r="AB23" s="114"/>
      <c r="AC23" s="114"/>
      <c r="AD23" s="114"/>
      <c r="AE23" s="114"/>
      <c r="AF23" s="114"/>
      <c r="AG23" s="114"/>
      <c r="AH23" s="114"/>
      <c r="AI23" s="114"/>
      <c r="AJ23" s="114"/>
      <c r="AK23" s="115"/>
      <c r="AL23" s="95"/>
      <c r="AM23" s="95"/>
      <c r="AN23" s="95"/>
      <c r="AO23" s="95"/>
      <c r="AP23" s="95"/>
      <c r="AQ23" s="95"/>
      <c r="AR23" s="95"/>
      <c r="AS23" s="95"/>
    </row>
    <row r="24" ht="15.75" customHeight="1">
      <c r="A24" s="116" t="s">
        <v>101</v>
      </c>
      <c r="B24" s="117" t="s">
        <v>102</v>
      </c>
      <c r="C24" s="118" t="s">
        <v>15</v>
      </c>
      <c r="D24" s="119" t="s">
        <v>39</v>
      </c>
      <c r="E24" s="120"/>
      <c r="F24" s="119"/>
      <c r="G24" s="124"/>
      <c r="H24" s="125"/>
      <c r="I24" s="123"/>
      <c r="J24" s="124"/>
      <c r="K24" s="125"/>
      <c r="L24" s="123"/>
      <c r="M24" s="124"/>
      <c r="N24" s="125"/>
      <c r="O24" s="123"/>
      <c r="P24" s="124"/>
      <c r="Q24" s="125"/>
      <c r="R24" s="123"/>
      <c r="S24" s="124"/>
      <c r="T24" s="125"/>
      <c r="U24" s="123"/>
      <c r="V24" s="131"/>
      <c r="W24" s="131"/>
      <c r="X24" s="131"/>
      <c r="Y24" s="132"/>
      <c r="Z24" s="132"/>
      <c r="AA24" s="132"/>
      <c r="AB24" s="114"/>
      <c r="AC24" s="114"/>
      <c r="AD24" s="114"/>
      <c r="AE24" s="114"/>
      <c r="AF24" s="114"/>
      <c r="AG24" s="114"/>
      <c r="AH24" s="114"/>
      <c r="AI24" s="114"/>
      <c r="AJ24" s="114"/>
      <c r="AK24" s="115"/>
      <c r="AL24" s="95"/>
      <c r="AM24" s="95"/>
      <c r="AN24" s="95"/>
      <c r="AO24" s="95"/>
      <c r="AP24" s="95"/>
      <c r="AQ24" s="95"/>
      <c r="AR24" s="95"/>
      <c r="AS24" s="95"/>
    </row>
    <row r="25" ht="15.75" customHeight="1">
      <c r="A25" s="116" t="s">
        <v>103</v>
      </c>
      <c r="B25" s="117" t="s">
        <v>104</v>
      </c>
      <c r="C25" s="118" t="s">
        <v>15</v>
      </c>
      <c r="D25" s="119" t="s">
        <v>39</v>
      </c>
      <c r="E25" s="120"/>
      <c r="F25" s="119"/>
      <c r="G25" s="124"/>
      <c r="H25" s="125"/>
      <c r="I25" s="123"/>
      <c r="J25" s="124"/>
      <c r="K25" s="125"/>
      <c r="L25" s="123"/>
      <c r="M25" s="124"/>
      <c r="N25" s="125"/>
      <c r="O25" s="123"/>
      <c r="P25" s="124"/>
      <c r="Q25" s="125"/>
      <c r="R25" s="123"/>
      <c r="S25" s="124"/>
      <c r="T25" s="125"/>
      <c r="U25" s="123"/>
      <c r="V25" s="131"/>
      <c r="W25" s="131"/>
      <c r="X25" s="131"/>
      <c r="Y25" s="132"/>
      <c r="Z25" s="132"/>
      <c r="AA25" s="132"/>
      <c r="AB25" s="114"/>
      <c r="AC25" s="114"/>
      <c r="AD25" s="114"/>
      <c r="AE25" s="114"/>
      <c r="AF25" s="114"/>
      <c r="AG25" s="114"/>
      <c r="AH25" s="114"/>
      <c r="AI25" s="114"/>
      <c r="AJ25" s="114"/>
      <c r="AK25" s="115"/>
      <c r="AL25" s="95"/>
      <c r="AM25" s="95"/>
      <c r="AN25" s="95"/>
      <c r="AO25" s="95"/>
      <c r="AP25" s="95"/>
      <c r="AQ25" s="95"/>
      <c r="AR25" s="95"/>
      <c r="AS25" s="95"/>
    </row>
    <row r="26" ht="15.75" customHeight="1">
      <c r="A26" s="130"/>
      <c r="B26" s="117" t="s">
        <v>105</v>
      </c>
      <c r="C26" s="118" t="s">
        <v>106</v>
      </c>
      <c r="D26" s="119" t="s">
        <v>107</v>
      </c>
      <c r="E26" s="120"/>
      <c r="F26" s="119" t="s">
        <v>17</v>
      </c>
      <c r="G26" s="124"/>
      <c r="H26" s="125"/>
      <c r="I26" s="123">
        <f>G26/(1.0278-(0.0278*H26))</f>
        <v>0</v>
      </c>
      <c r="J26" s="124"/>
      <c r="K26" s="125"/>
      <c r="L26" s="123">
        <f>J26/(1.0278-(0.0278*K26))</f>
        <v>0</v>
      </c>
      <c r="M26" s="124"/>
      <c r="N26" s="125"/>
      <c r="O26" s="123">
        <f>M26/(1.0278-(0.0278*N26))</f>
        <v>0</v>
      </c>
      <c r="P26" s="124"/>
      <c r="Q26" s="125"/>
      <c r="R26" s="123">
        <f>P26/(1.0278-(0.0278*Q26))</f>
        <v>0</v>
      </c>
      <c r="S26" s="124"/>
      <c r="T26" s="125"/>
      <c r="U26" s="123">
        <f>S26/(1.0278-(0.0278*T26))</f>
        <v>0</v>
      </c>
      <c r="V26" s="126">
        <f>+G26*H26+J26*K26+M26*N26+P26*Q26+S26*T26</f>
        <v>0</v>
      </c>
      <c r="W26" s="12"/>
      <c r="X26" s="13"/>
      <c r="Y26" s="127"/>
      <c r="Z26" s="128"/>
      <c r="AA26" s="129"/>
      <c r="AB26" s="114"/>
      <c r="AC26" s="114"/>
      <c r="AD26" s="114"/>
      <c r="AE26" s="114"/>
      <c r="AF26" s="114"/>
      <c r="AG26" s="114"/>
      <c r="AH26" s="114"/>
      <c r="AI26" s="114"/>
      <c r="AJ26" s="114"/>
      <c r="AK26" s="115"/>
      <c r="AL26" s="95"/>
      <c r="AM26" s="95"/>
      <c r="AN26" s="95"/>
      <c r="AO26" s="95"/>
      <c r="AP26" s="95"/>
      <c r="AQ26" s="95"/>
      <c r="AR26" s="95"/>
      <c r="AS26" s="95"/>
    </row>
    <row r="27" ht="15.0" customHeight="1">
      <c r="A27" s="106" t="s">
        <v>68</v>
      </c>
      <c r="B27" s="135" t="s">
        <v>42</v>
      </c>
      <c r="C27" s="143" t="s">
        <v>6</v>
      </c>
      <c r="D27" s="143" t="s">
        <v>7</v>
      </c>
      <c r="E27" s="144" t="s">
        <v>8</v>
      </c>
      <c r="F27" s="108" t="s">
        <v>28</v>
      </c>
      <c r="G27" s="109" t="s">
        <v>10</v>
      </c>
      <c r="H27" s="110" t="s">
        <v>11</v>
      </c>
      <c r="I27" s="111" t="s">
        <v>12</v>
      </c>
      <c r="J27" s="109" t="s">
        <v>10</v>
      </c>
      <c r="K27" s="110" t="s">
        <v>11</v>
      </c>
      <c r="L27" s="111" t="s">
        <v>12</v>
      </c>
      <c r="M27" s="109" t="s">
        <v>10</v>
      </c>
      <c r="N27" s="110" t="s">
        <v>11</v>
      </c>
      <c r="O27" s="111" t="s">
        <v>12</v>
      </c>
      <c r="P27" s="109" t="s">
        <v>10</v>
      </c>
      <c r="Q27" s="110" t="s">
        <v>11</v>
      </c>
      <c r="R27" s="111" t="s">
        <v>12</v>
      </c>
      <c r="S27" s="109" t="s">
        <v>10</v>
      </c>
      <c r="T27" s="110" t="s">
        <v>11</v>
      </c>
      <c r="U27" s="111" t="s">
        <v>12</v>
      </c>
      <c r="V27" s="112" t="s">
        <v>13</v>
      </c>
      <c r="W27" s="93"/>
      <c r="X27" s="94"/>
      <c r="Y27" s="113" t="s">
        <v>69</v>
      </c>
      <c r="Z27" s="93"/>
      <c r="AA27" s="94"/>
      <c r="AB27" s="95"/>
      <c r="AC27" s="95"/>
      <c r="AD27" s="95"/>
      <c r="AE27" s="95"/>
      <c r="AF27" s="95"/>
      <c r="AG27" s="95"/>
      <c r="AH27" s="95"/>
      <c r="AI27" s="95"/>
      <c r="AJ27" s="95"/>
      <c r="AK27" s="95"/>
      <c r="AL27" s="95"/>
      <c r="AM27" s="95"/>
      <c r="AN27" s="95"/>
      <c r="AO27" s="95"/>
      <c r="AP27" s="95"/>
      <c r="AQ27" s="95"/>
      <c r="AR27" s="95"/>
      <c r="AS27" s="95"/>
    </row>
    <row r="28" ht="15.0" customHeight="1">
      <c r="A28" s="116" t="s">
        <v>70</v>
      </c>
      <c r="B28" s="117" t="s">
        <v>108</v>
      </c>
      <c r="C28" s="118" t="s">
        <v>15</v>
      </c>
      <c r="D28" s="119" t="s">
        <v>39</v>
      </c>
      <c r="E28" s="120"/>
      <c r="F28" s="119" t="s">
        <v>17</v>
      </c>
      <c r="G28" s="124"/>
      <c r="H28" s="125"/>
      <c r="I28" s="123">
        <f t="shared" ref="I28:I32" si="19">G28/(1.0278-(0.0278*H28))</f>
        <v>0</v>
      </c>
      <c r="J28" s="124"/>
      <c r="K28" s="125"/>
      <c r="L28" s="123">
        <f t="shared" ref="L28:L32" si="20">J28/(1.0278-(0.0278*K28))</f>
        <v>0</v>
      </c>
      <c r="M28" s="124"/>
      <c r="N28" s="125"/>
      <c r="O28" s="123">
        <f t="shared" ref="O28:O32" si="21">M28/(1.0278-(0.0278*N28))</f>
        <v>0</v>
      </c>
      <c r="P28" s="124"/>
      <c r="Q28" s="125"/>
      <c r="R28" s="123">
        <f t="shared" ref="R28:R32" si="22">P28/(1.0278-(0.0278*Q28))</f>
        <v>0</v>
      </c>
      <c r="S28" s="124"/>
      <c r="T28" s="125"/>
      <c r="U28" s="123">
        <f t="shared" ref="U28:U32" si="23">S28/(1.0278-(0.0278*T28))</f>
        <v>0</v>
      </c>
      <c r="V28" s="126">
        <f t="shared" ref="V28:V32" si="24">+G28*H28+J28*K28+M28*N28+P28*Q28+S28*T28</f>
        <v>0</v>
      </c>
      <c r="W28" s="12"/>
      <c r="X28" s="13"/>
      <c r="Y28" s="127"/>
      <c r="Z28" s="128"/>
      <c r="AA28" s="129"/>
      <c r="AB28" s="95"/>
      <c r="AC28" s="95"/>
      <c r="AD28" s="95"/>
      <c r="AE28" s="95"/>
      <c r="AF28" s="95"/>
      <c r="AG28" s="95"/>
      <c r="AH28" s="95"/>
      <c r="AI28" s="95"/>
      <c r="AJ28" s="95"/>
      <c r="AK28" s="95"/>
      <c r="AL28" s="95"/>
      <c r="AM28" s="95"/>
      <c r="AN28" s="95"/>
      <c r="AO28" s="95"/>
      <c r="AP28" s="95"/>
      <c r="AQ28" s="95"/>
      <c r="AR28" s="95"/>
      <c r="AS28" s="95"/>
    </row>
    <row r="29" ht="15.0" customHeight="1">
      <c r="A29" s="116" t="s">
        <v>72</v>
      </c>
      <c r="B29" s="117" t="s">
        <v>109</v>
      </c>
      <c r="C29" s="118" t="s">
        <v>15</v>
      </c>
      <c r="D29" s="119" t="s">
        <v>39</v>
      </c>
      <c r="E29" s="120"/>
      <c r="F29" s="119" t="s">
        <v>17</v>
      </c>
      <c r="G29" s="124"/>
      <c r="H29" s="125"/>
      <c r="I29" s="123">
        <f t="shared" si="19"/>
        <v>0</v>
      </c>
      <c r="J29" s="124"/>
      <c r="K29" s="125"/>
      <c r="L29" s="123">
        <f t="shared" si="20"/>
        <v>0</v>
      </c>
      <c r="M29" s="124"/>
      <c r="N29" s="125"/>
      <c r="O29" s="123">
        <f t="shared" si="21"/>
        <v>0</v>
      </c>
      <c r="P29" s="124"/>
      <c r="Q29" s="125"/>
      <c r="R29" s="123">
        <f t="shared" si="22"/>
        <v>0</v>
      </c>
      <c r="S29" s="124"/>
      <c r="T29" s="125"/>
      <c r="U29" s="123">
        <f t="shared" si="23"/>
        <v>0</v>
      </c>
      <c r="V29" s="126">
        <f t="shared" si="24"/>
        <v>0</v>
      </c>
      <c r="W29" s="12"/>
      <c r="X29" s="13"/>
      <c r="Y29" s="127"/>
      <c r="Z29" s="128"/>
      <c r="AA29" s="129"/>
      <c r="AB29" s="95"/>
      <c r="AC29" s="95"/>
      <c r="AD29" s="95"/>
      <c r="AE29" s="95"/>
      <c r="AF29" s="95"/>
      <c r="AG29" s="95"/>
      <c r="AH29" s="95"/>
      <c r="AI29" s="95"/>
      <c r="AJ29" s="95"/>
      <c r="AK29" s="95"/>
      <c r="AL29" s="95"/>
      <c r="AM29" s="95"/>
      <c r="AN29" s="95"/>
      <c r="AO29" s="95"/>
      <c r="AP29" s="95"/>
      <c r="AQ29" s="95"/>
      <c r="AR29" s="95"/>
      <c r="AS29" s="95"/>
    </row>
    <row r="30" ht="15.0" customHeight="1">
      <c r="A30" s="116" t="s">
        <v>74</v>
      </c>
      <c r="B30" s="117" t="s">
        <v>110</v>
      </c>
      <c r="C30" s="118" t="s">
        <v>15</v>
      </c>
      <c r="D30" s="119" t="s">
        <v>39</v>
      </c>
      <c r="E30" s="120"/>
      <c r="F30" s="119" t="s">
        <v>17</v>
      </c>
      <c r="G30" s="124"/>
      <c r="H30" s="125"/>
      <c r="I30" s="123">
        <f t="shared" si="19"/>
        <v>0</v>
      </c>
      <c r="J30" s="124"/>
      <c r="K30" s="125"/>
      <c r="L30" s="123">
        <f t="shared" si="20"/>
        <v>0</v>
      </c>
      <c r="M30" s="124"/>
      <c r="N30" s="125"/>
      <c r="O30" s="123">
        <f t="shared" si="21"/>
        <v>0</v>
      </c>
      <c r="P30" s="124"/>
      <c r="Q30" s="125"/>
      <c r="R30" s="123">
        <f t="shared" si="22"/>
        <v>0</v>
      </c>
      <c r="S30" s="124"/>
      <c r="T30" s="125"/>
      <c r="U30" s="123">
        <f t="shared" si="23"/>
        <v>0</v>
      </c>
      <c r="V30" s="126">
        <f t="shared" si="24"/>
        <v>0</v>
      </c>
      <c r="W30" s="12"/>
      <c r="X30" s="13"/>
      <c r="Y30" s="127"/>
      <c r="Z30" s="128"/>
      <c r="AA30" s="129"/>
      <c r="AB30" s="95"/>
      <c r="AC30" s="95"/>
      <c r="AD30" s="95"/>
      <c r="AE30" s="95"/>
      <c r="AF30" s="95"/>
      <c r="AG30" s="95"/>
      <c r="AH30" s="95"/>
      <c r="AI30" s="95"/>
      <c r="AJ30" s="95"/>
      <c r="AK30" s="95"/>
      <c r="AL30" s="95"/>
      <c r="AM30" s="95"/>
      <c r="AN30" s="95"/>
      <c r="AO30" s="95"/>
      <c r="AP30" s="95"/>
      <c r="AQ30" s="95"/>
      <c r="AR30" s="95"/>
      <c r="AS30" s="95"/>
    </row>
    <row r="31" ht="15.0" customHeight="1">
      <c r="A31" s="116" t="s">
        <v>77</v>
      </c>
      <c r="B31" s="117" t="s">
        <v>111</v>
      </c>
      <c r="C31" s="118" t="s">
        <v>15</v>
      </c>
      <c r="D31" s="119" t="s">
        <v>80</v>
      </c>
      <c r="E31" s="120"/>
      <c r="F31" s="119" t="s">
        <v>17</v>
      </c>
      <c r="G31" s="124"/>
      <c r="H31" s="125"/>
      <c r="I31" s="123">
        <f t="shared" si="19"/>
        <v>0</v>
      </c>
      <c r="J31" s="124"/>
      <c r="K31" s="125"/>
      <c r="L31" s="123">
        <f t="shared" si="20"/>
        <v>0</v>
      </c>
      <c r="M31" s="124"/>
      <c r="N31" s="125"/>
      <c r="O31" s="123">
        <f t="shared" si="21"/>
        <v>0</v>
      </c>
      <c r="P31" s="124"/>
      <c r="Q31" s="125"/>
      <c r="R31" s="123">
        <f t="shared" si="22"/>
        <v>0</v>
      </c>
      <c r="S31" s="124"/>
      <c r="T31" s="125"/>
      <c r="U31" s="123">
        <f t="shared" si="23"/>
        <v>0</v>
      </c>
      <c r="V31" s="126">
        <f t="shared" si="24"/>
        <v>0</v>
      </c>
      <c r="W31" s="12"/>
      <c r="X31" s="13"/>
      <c r="Y31" s="148"/>
      <c r="Z31" s="128"/>
      <c r="AA31" s="129"/>
      <c r="AB31" s="95"/>
      <c r="AC31" s="95"/>
      <c r="AD31" s="95"/>
      <c r="AE31" s="95"/>
      <c r="AF31" s="95"/>
      <c r="AG31" s="95"/>
      <c r="AH31" s="95"/>
      <c r="AI31" s="95"/>
      <c r="AJ31" s="95"/>
      <c r="AK31" s="95"/>
      <c r="AL31" s="95"/>
      <c r="AM31" s="95"/>
      <c r="AN31" s="95"/>
      <c r="AO31" s="95"/>
      <c r="AP31" s="95"/>
      <c r="AQ31" s="95"/>
      <c r="AR31" s="95"/>
      <c r="AS31" s="95"/>
    </row>
    <row r="32" ht="15.0" customHeight="1">
      <c r="A32" s="149"/>
      <c r="B32" s="117" t="s">
        <v>82</v>
      </c>
      <c r="C32" s="133"/>
      <c r="D32" s="120"/>
      <c r="E32" s="120"/>
      <c r="F32" s="119" t="s">
        <v>83</v>
      </c>
      <c r="G32" s="124"/>
      <c r="H32" s="125"/>
      <c r="I32" s="123">
        <f t="shared" si="19"/>
        <v>0</v>
      </c>
      <c r="J32" s="124"/>
      <c r="K32" s="125"/>
      <c r="L32" s="123">
        <f t="shared" si="20"/>
        <v>0</v>
      </c>
      <c r="M32" s="124"/>
      <c r="N32" s="125"/>
      <c r="O32" s="123">
        <f t="shared" si="21"/>
        <v>0</v>
      </c>
      <c r="P32" s="124"/>
      <c r="Q32" s="125"/>
      <c r="R32" s="123">
        <f t="shared" si="22"/>
        <v>0</v>
      </c>
      <c r="S32" s="124"/>
      <c r="T32" s="125"/>
      <c r="U32" s="123">
        <f t="shared" si="23"/>
        <v>0</v>
      </c>
      <c r="V32" s="126">
        <f t="shared" si="24"/>
        <v>0</v>
      </c>
      <c r="W32" s="12"/>
      <c r="X32" s="13"/>
      <c r="Y32" s="127"/>
      <c r="Z32" s="128"/>
      <c r="AA32" s="129"/>
      <c r="AB32" s="95"/>
      <c r="AC32" s="95"/>
      <c r="AD32" s="95"/>
      <c r="AE32" s="95"/>
      <c r="AF32" s="95"/>
      <c r="AG32" s="95"/>
      <c r="AH32" s="95"/>
      <c r="AI32" s="95"/>
      <c r="AJ32" s="95"/>
      <c r="AK32" s="95"/>
      <c r="AL32" s="95"/>
      <c r="AM32" s="95"/>
      <c r="AN32" s="95"/>
      <c r="AO32" s="95"/>
      <c r="AP32" s="95"/>
      <c r="AQ32" s="95"/>
      <c r="AR32" s="95"/>
      <c r="AS32" s="95"/>
    </row>
    <row r="33" ht="15.0" customHeight="1">
      <c r="A33" s="150" t="s">
        <v>68</v>
      </c>
      <c r="B33" s="151" t="s">
        <v>112</v>
      </c>
      <c r="C33" s="152" t="s">
        <v>6</v>
      </c>
      <c r="D33" s="152" t="s">
        <v>7</v>
      </c>
      <c r="E33" s="152" t="s">
        <v>8</v>
      </c>
      <c r="F33" s="152" t="s">
        <v>28</v>
      </c>
      <c r="G33" s="153" t="s">
        <v>10</v>
      </c>
      <c r="H33" s="153" t="s">
        <v>11</v>
      </c>
      <c r="I33" s="154" t="s">
        <v>12</v>
      </c>
      <c r="J33" s="153" t="s">
        <v>10</v>
      </c>
      <c r="K33" s="153" t="s">
        <v>11</v>
      </c>
      <c r="L33" s="154" t="s">
        <v>12</v>
      </c>
      <c r="M33" s="153" t="s">
        <v>10</v>
      </c>
      <c r="N33" s="153" t="s">
        <v>11</v>
      </c>
      <c r="O33" s="154" t="s">
        <v>12</v>
      </c>
      <c r="P33" s="153" t="s">
        <v>10</v>
      </c>
      <c r="Q33" s="153" t="s">
        <v>11</v>
      </c>
      <c r="R33" s="154" t="s">
        <v>12</v>
      </c>
      <c r="S33" s="153" t="s">
        <v>10</v>
      </c>
      <c r="T33" s="153" t="s">
        <v>11</v>
      </c>
      <c r="U33" s="154" t="s">
        <v>12</v>
      </c>
      <c r="V33" s="155" t="s">
        <v>13</v>
      </c>
      <c r="W33" s="93"/>
      <c r="X33" s="94"/>
      <c r="Y33" s="156" t="s">
        <v>69</v>
      </c>
      <c r="Z33" s="93"/>
      <c r="AA33" s="94"/>
      <c r="AB33" s="95"/>
      <c r="AC33" s="95"/>
      <c r="AD33" s="95"/>
      <c r="AE33" s="95"/>
      <c r="AF33" s="95"/>
      <c r="AG33" s="95"/>
      <c r="AH33" s="95"/>
      <c r="AI33" s="95"/>
      <c r="AJ33" s="95"/>
      <c r="AK33" s="95"/>
      <c r="AL33" s="95"/>
      <c r="AM33" s="95"/>
      <c r="AN33" s="95"/>
      <c r="AO33" s="95"/>
      <c r="AP33" s="95"/>
      <c r="AQ33" s="95"/>
      <c r="AR33" s="95"/>
      <c r="AS33" s="95"/>
    </row>
    <row r="34" ht="15.0" customHeight="1">
      <c r="A34" s="157" t="s">
        <v>90</v>
      </c>
      <c r="B34" s="158" t="s">
        <v>113</v>
      </c>
      <c r="C34" s="159"/>
      <c r="D34" s="159"/>
      <c r="E34" s="159"/>
      <c r="F34" s="160"/>
      <c r="G34" s="161"/>
      <c r="H34" s="161"/>
      <c r="I34" s="162"/>
      <c r="J34" s="161"/>
      <c r="K34" s="161"/>
      <c r="L34" s="162"/>
      <c r="M34" s="161"/>
      <c r="N34" s="161"/>
      <c r="O34" s="162"/>
      <c r="P34" s="161"/>
      <c r="Q34" s="161"/>
      <c r="R34" s="162"/>
      <c r="S34" s="161"/>
      <c r="T34" s="161"/>
      <c r="U34" s="162"/>
      <c r="V34" s="163"/>
      <c r="W34" s="163"/>
      <c r="X34" s="163"/>
      <c r="Y34" s="164"/>
      <c r="Z34" s="164"/>
      <c r="AA34" s="164"/>
      <c r="AB34" s="95"/>
      <c r="AC34" s="95"/>
      <c r="AD34" s="95"/>
      <c r="AE34" s="95"/>
      <c r="AF34" s="95"/>
      <c r="AG34" s="95"/>
      <c r="AH34" s="95"/>
      <c r="AI34" s="95"/>
      <c r="AJ34" s="95"/>
      <c r="AK34" s="95"/>
      <c r="AL34" s="95"/>
      <c r="AM34" s="95"/>
      <c r="AN34" s="95"/>
      <c r="AO34" s="95"/>
      <c r="AP34" s="95"/>
      <c r="AQ34" s="95"/>
      <c r="AR34" s="95"/>
      <c r="AS34" s="95"/>
    </row>
    <row r="35" ht="15.0" customHeight="1">
      <c r="A35" s="165"/>
      <c r="B35" s="166" t="s">
        <v>114</v>
      </c>
      <c r="C35" s="159"/>
      <c r="D35" s="159"/>
      <c r="E35" s="159"/>
      <c r="F35" s="160"/>
      <c r="G35" s="161"/>
      <c r="H35" s="161"/>
      <c r="I35" s="162"/>
      <c r="J35" s="161"/>
      <c r="K35" s="161"/>
      <c r="L35" s="162"/>
      <c r="M35" s="161"/>
      <c r="N35" s="161"/>
      <c r="O35" s="162"/>
      <c r="P35" s="161"/>
      <c r="Q35" s="161"/>
      <c r="R35" s="162"/>
      <c r="S35" s="161"/>
      <c r="T35" s="161"/>
      <c r="U35" s="162"/>
      <c r="V35" s="163"/>
      <c r="W35" s="163"/>
      <c r="X35" s="163"/>
      <c r="Y35" s="164"/>
      <c r="Z35" s="164"/>
      <c r="AA35" s="164"/>
      <c r="AB35" s="95"/>
      <c r="AC35" s="95"/>
      <c r="AD35" s="95"/>
      <c r="AE35" s="95"/>
      <c r="AF35" s="95"/>
      <c r="AG35" s="95"/>
      <c r="AH35" s="95"/>
      <c r="AI35" s="95"/>
      <c r="AJ35" s="95"/>
      <c r="AK35" s="95"/>
      <c r="AL35" s="95"/>
      <c r="AM35" s="95"/>
      <c r="AN35" s="95"/>
      <c r="AO35" s="95"/>
      <c r="AP35" s="95"/>
      <c r="AQ35" s="95"/>
      <c r="AR35" s="95"/>
      <c r="AS35" s="95"/>
    </row>
    <row r="36" ht="15.0" customHeight="1">
      <c r="A36" s="165"/>
      <c r="B36" s="166" t="s">
        <v>115</v>
      </c>
      <c r="C36" s="159"/>
      <c r="D36" s="159"/>
      <c r="E36" s="159"/>
      <c r="F36" s="160"/>
      <c r="G36" s="161"/>
      <c r="H36" s="161"/>
      <c r="I36" s="162"/>
      <c r="J36" s="161"/>
      <c r="K36" s="161"/>
      <c r="L36" s="162"/>
      <c r="M36" s="161"/>
      <c r="N36" s="161"/>
      <c r="O36" s="162"/>
      <c r="P36" s="161"/>
      <c r="Q36" s="161"/>
      <c r="R36" s="162"/>
      <c r="S36" s="161"/>
      <c r="T36" s="161"/>
      <c r="U36" s="162"/>
      <c r="V36" s="163"/>
      <c r="W36" s="163"/>
      <c r="X36" s="163"/>
      <c r="Y36" s="164"/>
      <c r="Z36" s="164"/>
      <c r="AA36" s="164"/>
      <c r="AB36" s="95"/>
      <c r="AC36" s="95"/>
      <c r="AD36" s="95"/>
      <c r="AE36" s="95"/>
      <c r="AF36" s="95"/>
      <c r="AG36" s="95"/>
      <c r="AH36" s="95"/>
      <c r="AI36" s="95"/>
      <c r="AJ36" s="95"/>
      <c r="AK36" s="95"/>
      <c r="AL36" s="95"/>
      <c r="AM36" s="95"/>
      <c r="AN36" s="95"/>
      <c r="AO36" s="95"/>
      <c r="AP36" s="95"/>
      <c r="AQ36" s="95"/>
      <c r="AR36" s="95"/>
      <c r="AS36" s="95"/>
    </row>
    <row r="37" ht="15.0" customHeight="1">
      <c r="A37" s="165"/>
      <c r="B37" s="166" t="s">
        <v>116</v>
      </c>
      <c r="C37" s="159"/>
      <c r="D37" s="159"/>
      <c r="E37" s="159"/>
      <c r="F37" s="160"/>
      <c r="G37" s="161"/>
      <c r="H37" s="161"/>
      <c r="I37" s="162"/>
      <c r="J37" s="161"/>
      <c r="K37" s="161"/>
      <c r="L37" s="162"/>
      <c r="M37" s="161"/>
      <c r="N37" s="161"/>
      <c r="O37" s="162"/>
      <c r="P37" s="161"/>
      <c r="Q37" s="161"/>
      <c r="R37" s="162"/>
      <c r="S37" s="161"/>
      <c r="T37" s="161"/>
      <c r="U37" s="162"/>
      <c r="V37" s="163"/>
      <c r="W37" s="163"/>
      <c r="X37" s="163"/>
      <c r="Y37" s="164"/>
      <c r="Z37" s="164"/>
      <c r="AA37" s="164"/>
      <c r="AB37" s="95"/>
      <c r="AC37" s="95"/>
      <c r="AD37" s="95"/>
      <c r="AE37" s="95"/>
      <c r="AF37" s="95"/>
      <c r="AG37" s="95"/>
      <c r="AH37" s="95"/>
      <c r="AI37" s="95"/>
      <c r="AJ37" s="95"/>
      <c r="AK37" s="95"/>
      <c r="AL37" s="95"/>
      <c r="AM37" s="95"/>
      <c r="AN37" s="95"/>
      <c r="AO37" s="95"/>
      <c r="AP37" s="95"/>
      <c r="AQ37" s="95"/>
      <c r="AR37" s="95"/>
      <c r="AS37" s="95"/>
    </row>
    <row r="38" ht="15.0" customHeight="1">
      <c r="A38" s="165"/>
      <c r="B38" s="166" t="s">
        <v>117</v>
      </c>
      <c r="C38" s="159"/>
      <c r="D38" s="159"/>
      <c r="E38" s="159"/>
      <c r="F38" s="160"/>
      <c r="G38" s="161"/>
      <c r="H38" s="161"/>
      <c r="I38" s="162"/>
      <c r="J38" s="161"/>
      <c r="K38" s="161"/>
      <c r="L38" s="162"/>
      <c r="M38" s="161"/>
      <c r="N38" s="161"/>
      <c r="O38" s="162"/>
      <c r="P38" s="161"/>
      <c r="Q38" s="161"/>
      <c r="R38" s="162"/>
      <c r="S38" s="161"/>
      <c r="T38" s="161"/>
      <c r="U38" s="162"/>
      <c r="V38" s="163"/>
      <c r="W38" s="163"/>
      <c r="X38" s="163"/>
      <c r="Y38" s="164"/>
      <c r="Z38" s="164"/>
      <c r="AA38" s="164"/>
      <c r="AB38" s="95"/>
      <c r="AC38" s="95"/>
      <c r="AD38" s="95"/>
      <c r="AE38" s="95"/>
      <c r="AF38" s="95"/>
      <c r="AG38" s="95"/>
      <c r="AH38" s="95"/>
      <c r="AI38" s="95"/>
      <c r="AJ38" s="95"/>
      <c r="AK38" s="95"/>
      <c r="AL38" s="95"/>
      <c r="AM38" s="95"/>
      <c r="AN38" s="95"/>
      <c r="AO38" s="95"/>
      <c r="AP38" s="95"/>
      <c r="AQ38" s="95"/>
      <c r="AR38" s="95"/>
      <c r="AS38" s="95"/>
    </row>
    <row r="39" ht="15.0" customHeight="1">
      <c r="A39" s="165"/>
      <c r="B39" s="166" t="s">
        <v>118</v>
      </c>
      <c r="C39" s="159"/>
      <c r="D39" s="159"/>
      <c r="E39" s="159"/>
      <c r="F39" s="160"/>
      <c r="G39" s="161"/>
      <c r="H39" s="161"/>
      <c r="I39" s="162"/>
      <c r="J39" s="161"/>
      <c r="K39" s="161"/>
      <c r="L39" s="162"/>
      <c r="M39" s="161"/>
      <c r="N39" s="161"/>
      <c r="O39" s="162"/>
      <c r="P39" s="161"/>
      <c r="Q39" s="161"/>
      <c r="R39" s="162"/>
      <c r="S39" s="161"/>
      <c r="T39" s="161"/>
      <c r="U39" s="162"/>
      <c r="V39" s="163"/>
      <c r="W39" s="163"/>
      <c r="X39" s="163"/>
      <c r="Y39" s="164"/>
      <c r="Z39" s="164"/>
      <c r="AA39" s="164"/>
      <c r="AB39" s="95"/>
      <c r="AC39" s="95"/>
      <c r="AD39" s="95"/>
      <c r="AE39" s="95"/>
      <c r="AF39" s="95"/>
      <c r="AG39" s="95"/>
      <c r="AH39" s="95"/>
      <c r="AI39" s="95"/>
      <c r="AJ39" s="95"/>
      <c r="AK39" s="95"/>
      <c r="AL39" s="95"/>
      <c r="AM39" s="95"/>
      <c r="AN39" s="95"/>
      <c r="AO39" s="95"/>
      <c r="AP39" s="95"/>
      <c r="AQ39" s="95"/>
      <c r="AR39" s="95"/>
      <c r="AS39" s="95"/>
    </row>
    <row r="40" ht="15.0" customHeight="1">
      <c r="A40" s="167"/>
      <c r="B40" s="166" t="s">
        <v>119</v>
      </c>
      <c r="C40" s="159"/>
      <c r="D40" s="159"/>
      <c r="E40" s="159"/>
      <c r="F40" s="160"/>
      <c r="G40" s="168"/>
      <c r="H40" s="168"/>
      <c r="I40" s="169">
        <f>G40/(1.0278-(0.0278*H40))</f>
        <v>0</v>
      </c>
      <c r="J40" s="168"/>
      <c r="K40" s="168"/>
      <c r="L40" s="169">
        <f>J40/(1.0278-(0.0278*K40))</f>
        <v>0</v>
      </c>
      <c r="M40" s="168"/>
      <c r="N40" s="168"/>
      <c r="O40" s="169">
        <f>M40/(1.0278-(0.0278*N40))</f>
        <v>0</v>
      </c>
      <c r="P40" s="168"/>
      <c r="Q40" s="168"/>
      <c r="R40" s="169">
        <f>P40/(1.0278-(0.0278*Q40))</f>
        <v>0</v>
      </c>
      <c r="S40" s="168"/>
      <c r="T40" s="168"/>
      <c r="U40" s="169">
        <f>S40/(1.0278-(0.0278*T40))</f>
        <v>0</v>
      </c>
      <c r="V40" s="170" t="str">
        <f>+I40*J40+L40*M40+O40*P40+R40*S40+U40*V40</f>
        <v>#REF!</v>
      </c>
      <c r="W40" s="97"/>
      <c r="X40" s="98"/>
      <c r="Y40" s="171"/>
      <c r="Z40" s="172"/>
      <c r="AA40" s="173"/>
      <c r="AB40" s="95"/>
      <c r="AC40" s="95"/>
      <c r="AD40" s="95"/>
      <c r="AE40" s="95"/>
      <c r="AF40" s="95"/>
      <c r="AG40" s="95"/>
      <c r="AH40" s="95"/>
      <c r="AI40" s="95"/>
      <c r="AJ40" s="95"/>
      <c r="AK40" s="95"/>
      <c r="AL40" s="95"/>
      <c r="AM40" s="95"/>
      <c r="AN40" s="95"/>
      <c r="AO40" s="95"/>
      <c r="AP40" s="95"/>
      <c r="AQ40" s="95"/>
      <c r="AR40" s="95"/>
      <c r="AS40" s="95"/>
    </row>
    <row r="41" ht="15.0" customHeight="1">
      <c r="A41" s="91" t="s">
        <v>120</v>
      </c>
      <c r="B41" s="70"/>
      <c r="C41" s="70"/>
      <c r="D41" s="70"/>
      <c r="E41" s="70"/>
      <c r="F41" s="71"/>
      <c r="G41" s="92" t="s">
        <v>121</v>
      </c>
      <c r="H41" s="93"/>
      <c r="I41" s="93"/>
      <c r="J41" s="93"/>
      <c r="K41" s="93"/>
      <c r="L41" s="93"/>
      <c r="M41" s="93"/>
      <c r="N41" s="93"/>
      <c r="O41" s="93"/>
      <c r="P41" s="93"/>
      <c r="Q41" s="93"/>
      <c r="R41" s="93"/>
      <c r="S41" s="93"/>
      <c r="T41" s="93"/>
      <c r="U41" s="93"/>
      <c r="V41" s="93"/>
      <c r="W41" s="93"/>
      <c r="X41" s="93"/>
      <c r="Y41" s="93"/>
      <c r="Z41" s="93"/>
      <c r="AA41" s="94"/>
      <c r="AB41" s="95"/>
      <c r="AC41" s="95"/>
      <c r="AD41" s="95"/>
      <c r="AE41" s="95"/>
      <c r="AF41" s="95"/>
      <c r="AG41" s="95"/>
      <c r="AH41" s="95"/>
      <c r="AI41" s="95"/>
      <c r="AJ41" s="95"/>
      <c r="AK41" s="95"/>
      <c r="AL41" s="95"/>
      <c r="AM41" s="95"/>
      <c r="AN41" s="95"/>
      <c r="AO41" s="95"/>
      <c r="AP41" s="95"/>
      <c r="AQ41" s="95"/>
      <c r="AR41" s="95"/>
      <c r="AS41" s="95"/>
    </row>
    <row r="42" ht="15.0" customHeight="1">
      <c r="A42" s="96"/>
      <c r="B42" s="97"/>
      <c r="C42" s="97"/>
      <c r="D42" s="97"/>
      <c r="E42" s="97"/>
      <c r="F42" s="98"/>
      <c r="G42" s="99" t="s">
        <v>1</v>
      </c>
      <c r="H42" s="12"/>
      <c r="I42" s="13"/>
      <c r="J42" s="100" t="s">
        <v>2</v>
      </c>
      <c r="K42" s="12"/>
      <c r="L42" s="13"/>
      <c r="M42" s="100" t="s">
        <v>3</v>
      </c>
      <c r="N42" s="12"/>
      <c r="O42" s="13"/>
      <c r="P42" s="100" t="s">
        <v>66</v>
      </c>
      <c r="Q42" s="12"/>
      <c r="R42" s="13"/>
      <c r="S42" s="101" t="s">
        <v>67</v>
      </c>
      <c r="T42" s="93"/>
      <c r="U42" s="94"/>
      <c r="V42" s="100" t="s">
        <v>4</v>
      </c>
      <c r="W42" s="12"/>
      <c r="X42" s="13"/>
      <c r="Y42" s="102"/>
      <c r="Z42" s="102"/>
      <c r="AA42" s="14"/>
      <c r="AB42" s="95"/>
      <c r="AC42" s="95"/>
      <c r="AD42" s="95"/>
      <c r="AE42" s="95"/>
      <c r="AF42" s="95"/>
      <c r="AG42" s="95"/>
      <c r="AH42" s="95"/>
      <c r="AI42" s="95"/>
      <c r="AJ42" s="95"/>
      <c r="AK42" s="95"/>
      <c r="AL42" s="95"/>
      <c r="AM42" s="95"/>
      <c r="AN42" s="95"/>
      <c r="AO42" s="95"/>
      <c r="AP42" s="95"/>
      <c r="AQ42" s="95"/>
      <c r="AR42" s="95"/>
      <c r="AS42" s="95"/>
    </row>
    <row r="43" ht="15.0" customHeight="1">
      <c r="A43" s="106" t="s">
        <v>68</v>
      </c>
      <c r="B43" s="107" t="s">
        <v>5</v>
      </c>
      <c r="C43" s="108" t="s">
        <v>6</v>
      </c>
      <c r="D43" s="108" t="s">
        <v>7</v>
      </c>
      <c r="E43" s="108" t="s">
        <v>8</v>
      </c>
      <c r="F43" s="108" t="s">
        <v>28</v>
      </c>
      <c r="G43" s="109" t="s">
        <v>10</v>
      </c>
      <c r="H43" s="110" t="s">
        <v>11</v>
      </c>
      <c r="I43" s="111" t="s">
        <v>12</v>
      </c>
      <c r="J43" s="109" t="s">
        <v>10</v>
      </c>
      <c r="K43" s="110" t="s">
        <v>11</v>
      </c>
      <c r="L43" s="111" t="s">
        <v>12</v>
      </c>
      <c r="M43" s="109" t="s">
        <v>10</v>
      </c>
      <c r="N43" s="110" t="s">
        <v>11</v>
      </c>
      <c r="O43" s="111" t="s">
        <v>12</v>
      </c>
      <c r="P43" s="109" t="s">
        <v>10</v>
      </c>
      <c r="Q43" s="110" t="s">
        <v>11</v>
      </c>
      <c r="R43" s="111" t="s">
        <v>12</v>
      </c>
      <c r="S43" s="109" t="s">
        <v>10</v>
      </c>
      <c r="T43" s="110" t="s">
        <v>11</v>
      </c>
      <c r="U43" s="111" t="s">
        <v>12</v>
      </c>
      <c r="V43" s="112" t="s">
        <v>13</v>
      </c>
      <c r="W43" s="93"/>
      <c r="X43" s="94"/>
      <c r="Y43" s="113" t="s">
        <v>69</v>
      </c>
      <c r="Z43" s="93"/>
      <c r="AA43" s="94"/>
      <c r="AB43" s="95"/>
      <c r="AC43" s="95"/>
      <c r="AD43" s="95"/>
      <c r="AE43" s="95"/>
      <c r="AF43" s="95"/>
      <c r="AG43" s="95"/>
      <c r="AH43" s="95"/>
      <c r="AI43" s="95"/>
      <c r="AJ43" s="95"/>
      <c r="AK43" s="95"/>
      <c r="AL43" s="95"/>
      <c r="AM43" s="95"/>
      <c r="AN43" s="95"/>
      <c r="AO43" s="95"/>
      <c r="AP43" s="95"/>
      <c r="AQ43" s="95"/>
      <c r="AR43" s="95"/>
      <c r="AS43" s="95"/>
    </row>
    <row r="44" ht="15.0" customHeight="1">
      <c r="A44" s="116" t="s">
        <v>70</v>
      </c>
      <c r="B44" s="117" t="s">
        <v>122</v>
      </c>
      <c r="C44" s="118" t="s">
        <v>123</v>
      </c>
      <c r="D44" s="119" t="s">
        <v>124</v>
      </c>
      <c r="E44" s="120"/>
      <c r="F44" s="119" t="s">
        <v>81</v>
      </c>
      <c r="G44" s="124"/>
      <c r="H44" s="125"/>
      <c r="I44" s="123">
        <f t="shared" ref="I44:I47" si="25">G44/(1.0278-(0.0278*H44))</f>
        <v>0</v>
      </c>
      <c r="J44" s="124"/>
      <c r="K44" s="125"/>
      <c r="L44" s="123">
        <f t="shared" ref="L44:L47" si="26">J44/(1.0278-(0.0278*K44))</f>
        <v>0</v>
      </c>
      <c r="M44" s="124"/>
      <c r="N44" s="125"/>
      <c r="O44" s="123">
        <f t="shared" ref="O44:O47" si="27">M44/(1.0278-(0.0278*N44))</f>
        <v>0</v>
      </c>
      <c r="P44" s="124"/>
      <c r="Q44" s="125"/>
      <c r="R44" s="123">
        <f t="shared" ref="R44:R47" si="28">P44/(1.0278-(0.0278*Q44))</f>
        <v>0</v>
      </c>
      <c r="S44" s="124"/>
      <c r="T44" s="125"/>
      <c r="U44" s="123">
        <f t="shared" ref="U44:U47" si="29">S44/(1.0278-(0.0278*T44))</f>
        <v>0</v>
      </c>
      <c r="V44" s="126">
        <f t="shared" ref="V44:V47" si="30">+G44*H44+J44*K44+M44*N44+P44*Q44+S44*T44</f>
        <v>0</v>
      </c>
      <c r="W44" s="12"/>
      <c r="X44" s="13"/>
      <c r="Y44" s="127"/>
      <c r="Z44" s="128"/>
      <c r="AA44" s="129"/>
      <c r="AB44" s="95"/>
      <c r="AC44" s="95"/>
      <c r="AD44" s="95"/>
      <c r="AE44" s="95"/>
      <c r="AF44" s="95"/>
      <c r="AG44" s="95"/>
      <c r="AH44" s="95"/>
      <c r="AI44" s="95"/>
      <c r="AJ44" s="95"/>
      <c r="AK44" s="95"/>
      <c r="AL44" s="95"/>
      <c r="AM44" s="95"/>
      <c r="AN44" s="95"/>
      <c r="AO44" s="95"/>
      <c r="AP44" s="95"/>
      <c r="AQ44" s="95"/>
      <c r="AR44" s="95"/>
      <c r="AS44" s="95"/>
    </row>
    <row r="45" ht="15.0" customHeight="1">
      <c r="A45" s="116" t="s">
        <v>72</v>
      </c>
      <c r="B45" s="117" t="s">
        <v>125</v>
      </c>
      <c r="C45" s="118" t="s">
        <v>123</v>
      </c>
      <c r="D45" s="119" t="s">
        <v>124</v>
      </c>
      <c r="E45" s="120"/>
      <c r="F45" s="119" t="s">
        <v>81</v>
      </c>
      <c r="G45" s="124"/>
      <c r="H45" s="125"/>
      <c r="I45" s="123">
        <f t="shared" si="25"/>
        <v>0</v>
      </c>
      <c r="J45" s="124"/>
      <c r="K45" s="125"/>
      <c r="L45" s="123">
        <f t="shared" si="26"/>
        <v>0</v>
      </c>
      <c r="M45" s="124"/>
      <c r="N45" s="125"/>
      <c r="O45" s="123">
        <f t="shared" si="27"/>
        <v>0</v>
      </c>
      <c r="P45" s="124"/>
      <c r="Q45" s="125"/>
      <c r="R45" s="123">
        <f t="shared" si="28"/>
        <v>0</v>
      </c>
      <c r="S45" s="124"/>
      <c r="T45" s="125"/>
      <c r="U45" s="123">
        <f t="shared" si="29"/>
        <v>0</v>
      </c>
      <c r="V45" s="126">
        <f t="shared" si="30"/>
        <v>0</v>
      </c>
      <c r="W45" s="12"/>
      <c r="X45" s="13"/>
      <c r="Y45" s="127"/>
      <c r="Z45" s="128"/>
      <c r="AA45" s="129"/>
      <c r="AB45" s="95"/>
      <c r="AC45" s="95"/>
      <c r="AD45" s="95"/>
      <c r="AE45" s="95"/>
      <c r="AF45" s="95"/>
      <c r="AG45" s="95"/>
      <c r="AH45" s="95"/>
      <c r="AI45" s="95"/>
      <c r="AJ45" s="95"/>
      <c r="AK45" s="95"/>
      <c r="AL45" s="95"/>
      <c r="AM45" s="95"/>
      <c r="AN45" s="95"/>
      <c r="AO45" s="95"/>
      <c r="AP45" s="95"/>
      <c r="AQ45" s="95"/>
      <c r="AR45" s="95"/>
      <c r="AS45" s="95"/>
    </row>
    <row r="46" ht="15.0" customHeight="1">
      <c r="A46" s="116" t="s">
        <v>74</v>
      </c>
      <c r="B46" s="117" t="s">
        <v>126</v>
      </c>
      <c r="C46" s="118" t="s">
        <v>15</v>
      </c>
      <c r="D46" s="119" t="s">
        <v>39</v>
      </c>
      <c r="E46" s="120"/>
      <c r="F46" s="119" t="s">
        <v>17</v>
      </c>
      <c r="G46" s="124"/>
      <c r="H46" s="125"/>
      <c r="I46" s="123">
        <f t="shared" si="25"/>
        <v>0</v>
      </c>
      <c r="J46" s="124"/>
      <c r="K46" s="125"/>
      <c r="L46" s="123">
        <f t="shared" si="26"/>
        <v>0</v>
      </c>
      <c r="M46" s="124"/>
      <c r="N46" s="125"/>
      <c r="O46" s="123">
        <f t="shared" si="27"/>
        <v>0</v>
      </c>
      <c r="P46" s="124"/>
      <c r="Q46" s="125"/>
      <c r="R46" s="123">
        <f t="shared" si="28"/>
        <v>0</v>
      </c>
      <c r="S46" s="124"/>
      <c r="T46" s="125"/>
      <c r="U46" s="123">
        <f t="shared" si="29"/>
        <v>0</v>
      </c>
      <c r="V46" s="126">
        <f t="shared" si="30"/>
        <v>0</v>
      </c>
      <c r="W46" s="12"/>
      <c r="X46" s="13"/>
      <c r="Y46" s="127"/>
      <c r="Z46" s="128"/>
      <c r="AA46" s="129"/>
      <c r="AB46" s="95"/>
      <c r="AC46" s="95"/>
      <c r="AD46" s="95"/>
      <c r="AE46" s="95"/>
      <c r="AF46" s="95"/>
      <c r="AG46" s="95"/>
      <c r="AH46" s="95"/>
      <c r="AI46" s="95"/>
      <c r="AJ46" s="95"/>
      <c r="AK46" s="95"/>
      <c r="AL46" s="95"/>
      <c r="AM46" s="95"/>
      <c r="AN46" s="95"/>
      <c r="AO46" s="95"/>
      <c r="AP46" s="95"/>
      <c r="AQ46" s="95"/>
      <c r="AR46" s="95"/>
      <c r="AS46" s="95"/>
    </row>
    <row r="47" ht="15.0" customHeight="1">
      <c r="A47" s="116" t="s">
        <v>77</v>
      </c>
      <c r="B47" s="117" t="s">
        <v>127</v>
      </c>
      <c r="C47" s="118" t="s">
        <v>15</v>
      </c>
      <c r="D47" s="119" t="s">
        <v>39</v>
      </c>
      <c r="E47" s="120"/>
      <c r="F47" s="119" t="s">
        <v>17</v>
      </c>
      <c r="G47" s="124"/>
      <c r="H47" s="125"/>
      <c r="I47" s="123">
        <f t="shared" si="25"/>
        <v>0</v>
      </c>
      <c r="J47" s="124"/>
      <c r="K47" s="125"/>
      <c r="L47" s="123">
        <f t="shared" si="26"/>
        <v>0</v>
      </c>
      <c r="M47" s="124"/>
      <c r="N47" s="125"/>
      <c r="O47" s="123">
        <f t="shared" si="27"/>
        <v>0</v>
      </c>
      <c r="P47" s="124"/>
      <c r="Q47" s="125"/>
      <c r="R47" s="123">
        <f t="shared" si="28"/>
        <v>0</v>
      </c>
      <c r="S47" s="124"/>
      <c r="T47" s="125"/>
      <c r="U47" s="123">
        <f t="shared" si="29"/>
        <v>0</v>
      </c>
      <c r="V47" s="126">
        <f t="shared" si="30"/>
        <v>0</v>
      </c>
      <c r="W47" s="12"/>
      <c r="X47" s="13"/>
      <c r="Y47" s="127"/>
      <c r="Z47" s="128"/>
      <c r="AA47" s="129"/>
      <c r="AB47" s="95"/>
      <c r="AC47" s="95"/>
      <c r="AD47" s="95"/>
      <c r="AE47" s="95"/>
      <c r="AF47" s="95"/>
      <c r="AG47" s="95"/>
      <c r="AH47" s="95"/>
      <c r="AI47" s="95"/>
      <c r="AJ47" s="95"/>
      <c r="AK47" s="95"/>
      <c r="AL47" s="95"/>
      <c r="AM47" s="95"/>
      <c r="AN47" s="95"/>
      <c r="AO47" s="95"/>
      <c r="AP47" s="95"/>
      <c r="AQ47" s="95"/>
      <c r="AR47" s="95"/>
      <c r="AS47" s="95"/>
    </row>
    <row r="48" ht="15.0" customHeight="1">
      <c r="A48" s="130"/>
      <c r="B48" s="117" t="s">
        <v>128</v>
      </c>
      <c r="C48" s="118" t="s">
        <v>15</v>
      </c>
      <c r="D48" s="119" t="s">
        <v>39</v>
      </c>
      <c r="E48" s="120"/>
      <c r="F48" s="119" t="s">
        <v>17</v>
      </c>
      <c r="G48" s="124"/>
      <c r="H48" s="125"/>
      <c r="I48" s="123"/>
      <c r="J48" s="124"/>
      <c r="K48" s="125"/>
      <c r="L48" s="123"/>
      <c r="M48" s="124"/>
      <c r="N48" s="125"/>
      <c r="O48" s="123"/>
      <c r="P48" s="124"/>
      <c r="Q48" s="125"/>
      <c r="R48" s="123"/>
      <c r="S48" s="124"/>
      <c r="T48" s="125"/>
      <c r="U48" s="123"/>
      <c r="V48" s="131"/>
      <c r="W48" s="131"/>
      <c r="X48" s="131"/>
      <c r="Y48" s="132"/>
      <c r="Z48" s="132"/>
      <c r="AA48" s="132"/>
      <c r="AB48" s="95"/>
      <c r="AC48" s="95"/>
      <c r="AD48" s="95"/>
      <c r="AE48" s="95"/>
      <c r="AF48" s="95"/>
      <c r="AG48" s="95"/>
      <c r="AH48" s="95"/>
      <c r="AI48" s="95"/>
      <c r="AJ48" s="95"/>
      <c r="AK48" s="95"/>
      <c r="AL48" s="95"/>
      <c r="AM48" s="95"/>
      <c r="AN48" s="95"/>
      <c r="AO48" s="95"/>
      <c r="AP48" s="95"/>
      <c r="AQ48" s="95"/>
      <c r="AR48" s="95"/>
      <c r="AS48" s="95"/>
    </row>
    <row r="49" ht="15.0" customHeight="1">
      <c r="A49" s="130"/>
      <c r="B49" s="117" t="s">
        <v>129</v>
      </c>
      <c r="C49" s="118" t="s">
        <v>15</v>
      </c>
      <c r="D49" s="119" t="s">
        <v>39</v>
      </c>
      <c r="E49" s="120"/>
      <c r="F49" s="119" t="s">
        <v>17</v>
      </c>
      <c r="G49" s="124"/>
      <c r="H49" s="125"/>
      <c r="I49" s="123"/>
      <c r="J49" s="124"/>
      <c r="K49" s="125"/>
      <c r="L49" s="123"/>
      <c r="M49" s="124"/>
      <c r="N49" s="125"/>
      <c r="O49" s="123"/>
      <c r="P49" s="124"/>
      <c r="Q49" s="125"/>
      <c r="R49" s="123"/>
      <c r="S49" s="124"/>
      <c r="T49" s="125"/>
      <c r="U49" s="123"/>
      <c r="V49" s="131"/>
      <c r="W49" s="131"/>
      <c r="X49" s="131"/>
      <c r="Y49" s="132"/>
      <c r="Z49" s="132"/>
      <c r="AA49" s="132"/>
      <c r="AB49" s="95"/>
      <c r="AC49" s="95"/>
      <c r="AD49" s="95"/>
      <c r="AE49" s="95"/>
      <c r="AF49" s="95"/>
      <c r="AG49" s="95"/>
      <c r="AH49" s="95"/>
      <c r="AI49" s="95"/>
      <c r="AJ49" s="95"/>
      <c r="AK49" s="95"/>
      <c r="AL49" s="95"/>
      <c r="AM49" s="95"/>
      <c r="AN49" s="95"/>
      <c r="AO49" s="95"/>
      <c r="AP49" s="95"/>
      <c r="AQ49" s="95"/>
      <c r="AR49" s="95"/>
      <c r="AS49" s="95"/>
    </row>
    <row r="50" ht="15.0" customHeight="1">
      <c r="A50" s="130"/>
      <c r="B50" s="117" t="s">
        <v>130</v>
      </c>
      <c r="C50" s="118" t="s">
        <v>15</v>
      </c>
      <c r="D50" s="119" t="s">
        <v>131</v>
      </c>
      <c r="E50" s="120"/>
      <c r="F50" s="119" t="s">
        <v>17</v>
      </c>
      <c r="G50" s="124"/>
      <c r="H50" s="125"/>
      <c r="I50" s="123"/>
      <c r="J50" s="124"/>
      <c r="K50" s="125"/>
      <c r="L50" s="123"/>
      <c r="M50" s="124"/>
      <c r="N50" s="125"/>
      <c r="O50" s="123"/>
      <c r="P50" s="124"/>
      <c r="Q50" s="125"/>
      <c r="R50" s="123"/>
      <c r="S50" s="124"/>
      <c r="T50" s="125"/>
      <c r="U50" s="123"/>
      <c r="V50" s="131"/>
      <c r="W50" s="131"/>
      <c r="X50" s="131"/>
      <c r="Y50" s="132"/>
      <c r="Z50" s="132"/>
      <c r="AA50" s="132"/>
      <c r="AB50" s="95"/>
      <c r="AC50" s="95"/>
      <c r="AD50" s="95"/>
      <c r="AE50" s="95"/>
      <c r="AF50" s="95"/>
      <c r="AG50" s="95"/>
      <c r="AH50" s="95"/>
      <c r="AI50" s="95"/>
      <c r="AJ50" s="95"/>
      <c r="AK50" s="95"/>
      <c r="AL50" s="95"/>
      <c r="AM50" s="95"/>
      <c r="AN50" s="95"/>
      <c r="AO50" s="95"/>
      <c r="AP50" s="95"/>
      <c r="AQ50" s="95"/>
      <c r="AR50" s="95"/>
      <c r="AS50" s="95"/>
    </row>
    <row r="51" ht="15.0" customHeight="1">
      <c r="A51" s="130"/>
      <c r="B51" s="117" t="s">
        <v>82</v>
      </c>
      <c r="C51" s="133"/>
      <c r="D51" s="120"/>
      <c r="E51" s="120"/>
      <c r="F51" s="119" t="s">
        <v>83</v>
      </c>
      <c r="G51" s="124"/>
      <c r="H51" s="125"/>
      <c r="I51" s="123">
        <f>G51/(1.0278-(0.0278*H51))</f>
        <v>0</v>
      </c>
      <c r="J51" s="124"/>
      <c r="K51" s="125"/>
      <c r="L51" s="123">
        <f>J51/(1.0278-(0.0278*K51))</f>
        <v>0</v>
      </c>
      <c r="M51" s="124"/>
      <c r="N51" s="125"/>
      <c r="O51" s="123">
        <f>M51/(1.0278-(0.0278*N51))</f>
        <v>0</v>
      </c>
      <c r="P51" s="124"/>
      <c r="Q51" s="125"/>
      <c r="R51" s="123">
        <f>P51/(1.0278-(0.0278*Q51))</f>
        <v>0</v>
      </c>
      <c r="S51" s="124"/>
      <c r="T51" s="125"/>
      <c r="U51" s="123">
        <f>S51/(1.0278-(0.0278*T51))</f>
        <v>0</v>
      </c>
      <c r="V51" s="126">
        <f>+G51*H51+J51*K51+M51*N51+P51*Q51+S51*T51</f>
        <v>0</v>
      </c>
      <c r="W51" s="12"/>
      <c r="X51" s="13"/>
      <c r="Y51" s="127"/>
      <c r="Z51" s="128"/>
      <c r="AA51" s="129"/>
      <c r="AB51" s="95"/>
      <c r="AC51" s="95"/>
      <c r="AD51" s="95"/>
      <c r="AE51" s="95"/>
      <c r="AF51" s="95"/>
      <c r="AG51" s="95"/>
      <c r="AH51" s="95"/>
      <c r="AI51" s="95"/>
      <c r="AJ51" s="95"/>
      <c r="AK51" s="95"/>
      <c r="AL51" s="95"/>
      <c r="AM51" s="95"/>
      <c r="AN51" s="95"/>
      <c r="AO51" s="95"/>
      <c r="AP51" s="95"/>
      <c r="AQ51" s="95"/>
      <c r="AR51" s="95"/>
      <c r="AS51" s="95"/>
    </row>
    <row r="52" ht="15.0" customHeight="1">
      <c r="A52" s="106" t="s">
        <v>68</v>
      </c>
      <c r="B52" s="135" t="s">
        <v>27</v>
      </c>
      <c r="C52" s="108" t="s">
        <v>6</v>
      </c>
      <c r="D52" s="108" t="s">
        <v>7</v>
      </c>
      <c r="E52" s="108" t="s">
        <v>8</v>
      </c>
      <c r="F52" s="108" t="s">
        <v>28</v>
      </c>
      <c r="G52" s="109" t="s">
        <v>10</v>
      </c>
      <c r="H52" s="110" t="s">
        <v>11</v>
      </c>
      <c r="I52" s="111" t="s">
        <v>12</v>
      </c>
      <c r="J52" s="109" t="s">
        <v>10</v>
      </c>
      <c r="K52" s="110" t="s">
        <v>11</v>
      </c>
      <c r="L52" s="111" t="s">
        <v>12</v>
      </c>
      <c r="M52" s="109" t="s">
        <v>10</v>
      </c>
      <c r="N52" s="110" t="s">
        <v>11</v>
      </c>
      <c r="O52" s="111" t="s">
        <v>12</v>
      </c>
      <c r="P52" s="109" t="s">
        <v>10</v>
      </c>
      <c r="Q52" s="110" t="s">
        <v>11</v>
      </c>
      <c r="R52" s="111" t="s">
        <v>12</v>
      </c>
      <c r="S52" s="109" t="s">
        <v>10</v>
      </c>
      <c r="T52" s="110" t="s">
        <v>11</v>
      </c>
      <c r="U52" s="111" t="s">
        <v>12</v>
      </c>
      <c r="V52" s="112" t="s">
        <v>13</v>
      </c>
      <c r="W52" s="93"/>
      <c r="X52" s="94"/>
      <c r="Y52" s="113" t="s">
        <v>69</v>
      </c>
      <c r="Z52" s="93"/>
      <c r="AA52" s="94"/>
      <c r="AB52" s="95"/>
      <c r="AC52" s="95"/>
      <c r="AD52" s="95"/>
      <c r="AE52" s="95"/>
      <c r="AF52" s="95"/>
      <c r="AG52" s="95"/>
      <c r="AH52" s="95"/>
      <c r="AI52" s="95"/>
      <c r="AJ52" s="95"/>
      <c r="AK52" s="95"/>
      <c r="AL52" s="95"/>
      <c r="AM52" s="95"/>
      <c r="AN52" s="95"/>
      <c r="AO52" s="95"/>
      <c r="AP52" s="95"/>
      <c r="AQ52" s="95"/>
      <c r="AR52" s="95"/>
      <c r="AS52" s="95"/>
    </row>
    <row r="53" ht="15.0" customHeight="1">
      <c r="A53" s="116" t="s">
        <v>70</v>
      </c>
      <c r="B53" s="117" t="s">
        <v>132</v>
      </c>
      <c r="C53" s="118" t="s">
        <v>15</v>
      </c>
      <c r="D53" s="119" t="s">
        <v>39</v>
      </c>
      <c r="E53" s="120"/>
      <c r="F53" s="119" t="s">
        <v>17</v>
      </c>
      <c r="G53" s="124"/>
      <c r="H53" s="125"/>
      <c r="I53" s="123">
        <f t="shared" ref="I53:I56" si="31">G53/(1.0278-(0.0278*H53))</f>
        <v>0</v>
      </c>
      <c r="J53" s="124"/>
      <c r="K53" s="125"/>
      <c r="L53" s="123">
        <f t="shared" ref="L53:L56" si="32">J53/(1.0278-(0.0278*K53))</f>
        <v>0</v>
      </c>
      <c r="M53" s="124"/>
      <c r="N53" s="125"/>
      <c r="O53" s="123">
        <f t="shared" ref="O53:O56" si="33">M53/(1.0278-(0.0278*N53))</f>
        <v>0</v>
      </c>
      <c r="P53" s="124"/>
      <c r="Q53" s="125"/>
      <c r="R53" s="123">
        <f t="shared" ref="R53:R56" si="34">P53/(1.0278-(0.0278*Q53))</f>
        <v>0</v>
      </c>
      <c r="S53" s="124"/>
      <c r="T53" s="125"/>
      <c r="U53" s="123">
        <f t="shared" ref="U53:U56" si="35">S53/(1.0278-(0.0278*T53))</f>
        <v>0</v>
      </c>
      <c r="V53" s="126">
        <f t="shared" ref="V53:V56" si="36">+G53*H53+J53*K53+M53*N53+P53*Q53+S53*T53</f>
        <v>0</v>
      </c>
      <c r="W53" s="12"/>
      <c r="X53" s="13"/>
      <c r="Y53" s="127"/>
      <c r="Z53" s="128"/>
      <c r="AA53" s="129"/>
      <c r="AB53" s="95"/>
      <c r="AC53" s="95"/>
      <c r="AD53" s="95"/>
      <c r="AE53" s="95"/>
      <c r="AF53" s="95"/>
      <c r="AG53" s="95"/>
      <c r="AH53" s="95"/>
      <c r="AI53" s="95"/>
      <c r="AJ53" s="95"/>
      <c r="AK53" s="95"/>
      <c r="AL53" s="95"/>
      <c r="AM53" s="95"/>
      <c r="AN53" s="95"/>
      <c r="AO53" s="95"/>
      <c r="AP53" s="95"/>
      <c r="AQ53" s="95"/>
      <c r="AR53" s="95"/>
      <c r="AS53" s="95"/>
    </row>
    <row r="54" ht="15.0" customHeight="1">
      <c r="A54" s="116" t="s">
        <v>72</v>
      </c>
      <c r="B54" s="117" t="s">
        <v>133</v>
      </c>
      <c r="C54" s="118" t="s">
        <v>15</v>
      </c>
      <c r="D54" s="174" t="s">
        <v>39</v>
      </c>
      <c r="E54" s="120"/>
      <c r="F54" s="119" t="s">
        <v>17</v>
      </c>
      <c r="G54" s="124"/>
      <c r="H54" s="125"/>
      <c r="I54" s="123">
        <f t="shared" si="31"/>
        <v>0</v>
      </c>
      <c r="J54" s="124"/>
      <c r="K54" s="125"/>
      <c r="L54" s="123">
        <f t="shared" si="32"/>
        <v>0</v>
      </c>
      <c r="M54" s="124"/>
      <c r="N54" s="125"/>
      <c r="O54" s="123">
        <f t="shared" si="33"/>
        <v>0</v>
      </c>
      <c r="P54" s="124"/>
      <c r="Q54" s="125"/>
      <c r="R54" s="123">
        <f t="shared" si="34"/>
        <v>0</v>
      </c>
      <c r="S54" s="124"/>
      <c r="T54" s="125"/>
      <c r="U54" s="123">
        <f t="shared" si="35"/>
        <v>0</v>
      </c>
      <c r="V54" s="126">
        <f t="shared" si="36"/>
        <v>0</v>
      </c>
      <c r="W54" s="12"/>
      <c r="X54" s="13"/>
      <c r="Y54" s="127"/>
      <c r="Z54" s="128"/>
      <c r="AA54" s="129"/>
      <c r="AB54" s="95"/>
      <c r="AC54" s="95"/>
      <c r="AD54" s="95"/>
      <c r="AE54" s="95"/>
      <c r="AF54" s="95"/>
      <c r="AG54" s="95"/>
      <c r="AH54" s="95"/>
      <c r="AI54" s="95"/>
      <c r="AJ54" s="95"/>
      <c r="AK54" s="95"/>
      <c r="AL54" s="95"/>
      <c r="AM54" s="95"/>
      <c r="AN54" s="95"/>
      <c r="AO54" s="95"/>
      <c r="AP54" s="95"/>
      <c r="AQ54" s="95"/>
      <c r="AR54" s="95"/>
      <c r="AS54" s="95"/>
    </row>
    <row r="55" ht="15.0" customHeight="1">
      <c r="A55" s="116" t="s">
        <v>74</v>
      </c>
      <c r="B55" s="117" t="s">
        <v>134</v>
      </c>
      <c r="C55" s="138" t="s">
        <v>15</v>
      </c>
      <c r="D55" s="174" t="s">
        <v>39</v>
      </c>
      <c r="E55" s="136"/>
      <c r="F55" s="137">
        <v>60.0</v>
      </c>
      <c r="G55" s="124"/>
      <c r="H55" s="125"/>
      <c r="I55" s="123">
        <f t="shared" si="31"/>
        <v>0</v>
      </c>
      <c r="J55" s="124"/>
      <c r="K55" s="125"/>
      <c r="L55" s="123">
        <f t="shared" si="32"/>
        <v>0</v>
      </c>
      <c r="M55" s="124"/>
      <c r="N55" s="125"/>
      <c r="O55" s="123">
        <f t="shared" si="33"/>
        <v>0</v>
      </c>
      <c r="P55" s="124"/>
      <c r="Q55" s="125"/>
      <c r="R55" s="123">
        <f t="shared" si="34"/>
        <v>0</v>
      </c>
      <c r="S55" s="124"/>
      <c r="T55" s="125"/>
      <c r="U55" s="123">
        <f t="shared" si="35"/>
        <v>0</v>
      </c>
      <c r="V55" s="126">
        <f t="shared" si="36"/>
        <v>0</v>
      </c>
      <c r="W55" s="12"/>
      <c r="X55" s="13"/>
      <c r="Y55" s="127"/>
      <c r="Z55" s="128"/>
      <c r="AA55" s="129"/>
      <c r="AB55" s="95"/>
      <c r="AC55" s="95"/>
      <c r="AD55" s="95"/>
      <c r="AE55" s="95"/>
      <c r="AF55" s="95"/>
      <c r="AG55" s="95"/>
      <c r="AH55" s="95"/>
      <c r="AI55" s="95"/>
      <c r="AJ55" s="95"/>
      <c r="AK55" s="95"/>
      <c r="AL55" s="95"/>
      <c r="AM55" s="95"/>
      <c r="AN55" s="95"/>
      <c r="AO55" s="95"/>
      <c r="AP55" s="95"/>
      <c r="AQ55" s="95"/>
      <c r="AR55" s="95"/>
      <c r="AS55" s="95"/>
    </row>
    <row r="56" ht="15.0" customHeight="1">
      <c r="A56" s="116" t="s">
        <v>77</v>
      </c>
      <c r="B56" s="117" t="s">
        <v>135</v>
      </c>
      <c r="C56" s="118" t="s">
        <v>15</v>
      </c>
      <c r="D56" s="119" t="s">
        <v>39</v>
      </c>
      <c r="E56" s="136"/>
      <c r="F56" s="137">
        <v>60.0</v>
      </c>
      <c r="G56" s="124"/>
      <c r="H56" s="125"/>
      <c r="I56" s="123">
        <f t="shared" si="31"/>
        <v>0</v>
      </c>
      <c r="J56" s="124"/>
      <c r="K56" s="125"/>
      <c r="L56" s="123">
        <f t="shared" si="32"/>
        <v>0</v>
      </c>
      <c r="M56" s="124"/>
      <c r="N56" s="125"/>
      <c r="O56" s="123">
        <f t="shared" si="33"/>
        <v>0</v>
      </c>
      <c r="P56" s="124"/>
      <c r="Q56" s="125"/>
      <c r="R56" s="123">
        <f t="shared" si="34"/>
        <v>0</v>
      </c>
      <c r="S56" s="124"/>
      <c r="T56" s="125"/>
      <c r="U56" s="123">
        <f t="shared" si="35"/>
        <v>0</v>
      </c>
      <c r="V56" s="126">
        <f t="shared" si="36"/>
        <v>0</v>
      </c>
      <c r="W56" s="12"/>
      <c r="X56" s="13"/>
      <c r="Y56" s="127"/>
      <c r="Z56" s="128"/>
      <c r="AA56" s="129"/>
      <c r="AB56" s="95"/>
      <c r="AC56" s="95"/>
      <c r="AD56" s="95"/>
      <c r="AE56" s="95"/>
      <c r="AF56" s="95"/>
      <c r="AG56" s="95"/>
      <c r="AH56" s="95"/>
      <c r="AI56" s="95"/>
      <c r="AJ56" s="95"/>
      <c r="AK56" s="95"/>
      <c r="AL56" s="95"/>
      <c r="AM56" s="95"/>
      <c r="AN56" s="95"/>
      <c r="AO56" s="95"/>
      <c r="AP56" s="95"/>
      <c r="AQ56" s="95"/>
      <c r="AR56" s="95"/>
      <c r="AS56" s="95"/>
    </row>
    <row r="57" ht="15.0" customHeight="1">
      <c r="A57" s="130"/>
      <c r="B57" s="117" t="s">
        <v>136</v>
      </c>
      <c r="C57" s="118" t="s">
        <v>15</v>
      </c>
      <c r="D57" s="119" t="s">
        <v>39</v>
      </c>
      <c r="E57" s="136"/>
      <c r="F57" s="137">
        <v>60.0</v>
      </c>
      <c r="G57" s="124"/>
      <c r="H57" s="125"/>
      <c r="I57" s="123"/>
      <c r="J57" s="124"/>
      <c r="K57" s="125"/>
      <c r="L57" s="123"/>
      <c r="M57" s="124"/>
      <c r="N57" s="125"/>
      <c r="O57" s="123"/>
      <c r="P57" s="124"/>
      <c r="Q57" s="125"/>
      <c r="R57" s="123"/>
      <c r="S57" s="124"/>
      <c r="T57" s="125"/>
      <c r="U57" s="123"/>
      <c r="V57" s="131"/>
      <c r="W57" s="131"/>
      <c r="X57" s="131"/>
      <c r="Y57" s="132"/>
      <c r="Z57" s="132"/>
      <c r="AA57" s="132"/>
      <c r="AB57" s="95"/>
      <c r="AC57" s="95"/>
      <c r="AD57" s="95"/>
      <c r="AE57" s="95"/>
      <c r="AF57" s="95"/>
      <c r="AG57" s="95"/>
      <c r="AH57" s="95"/>
      <c r="AI57" s="95"/>
      <c r="AJ57" s="95"/>
      <c r="AK57" s="95"/>
      <c r="AL57" s="95"/>
      <c r="AM57" s="95"/>
      <c r="AN57" s="95"/>
      <c r="AO57" s="95"/>
      <c r="AP57" s="95"/>
      <c r="AQ57" s="95"/>
      <c r="AR57" s="95"/>
      <c r="AS57" s="95"/>
    </row>
    <row r="58" ht="15.0" customHeight="1">
      <c r="A58" s="130"/>
      <c r="B58" s="117" t="s">
        <v>31</v>
      </c>
      <c r="C58" s="118" t="s">
        <v>15</v>
      </c>
      <c r="D58" s="119" t="s">
        <v>39</v>
      </c>
      <c r="E58" s="136"/>
      <c r="F58" s="137">
        <v>60.0</v>
      </c>
      <c r="G58" s="124"/>
      <c r="H58" s="125"/>
      <c r="I58" s="123"/>
      <c r="J58" s="124"/>
      <c r="K58" s="125"/>
      <c r="L58" s="123"/>
      <c r="M58" s="124"/>
      <c r="N58" s="125"/>
      <c r="O58" s="123"/>
      <c r="P58" s="124"/>
      <c r="Q58" s="125"/>
      <c r="R58" s="123"/>
      <c r="S58" s="124"/>
      <c r="T58" s="125"/>
      <c r="U58" s="123"/>
      <c r="V58" s="131"/>
      <c r="W58" s="131"/>
      <c r="X58" s="131"/>
      <c r="Y58" s="132"/>
      <c r="Z58" s="132"/>
      <c r="AA58" s="132"/>
      <c r="AB58" s="95"/>
      <c r="AC58" s="95"/>
      <c r="AD58" s="95"/>
      <c r="AE58" s="95"/>
      <c r="AF58" s="95"/>
      <c r="AG58" s="95"/>
      <c r="AH58" s="95"/>
      <c r="AI58" s="95"/>
      <c r="AJ58" s="95"/>
      <c r="AK58" s="95"/>
      <c r="AL58" s="95"/>
      <c r="AM58" s="95"/>
      <c r="AN58" s="95"/>
      <c r="AO58" s="95"/>
      <c r="AP58" s="95"/>
      <c r="AQ58" s="95"/>
      <c r="AR58" s="95"/>
      <c r="AS58" s="95"/>
    </row>
    <row r="59" ht="15.0" customHeight="1">
      <c r="A59" s="130"/>
      <c r="B59" s="117" t="s">
        <v>137</v>
      </c>
      <c r="C59" s="118"/>
      <c r="D59" s="119" t="s">
        <v>138</v>
      </c>
      <c r="E59" s="136"/>
      <c r="F59" s="137">
        <v>60.0</v>
      </c>
      <c r="G59" s="124"/>
      <c r="H59" s="125"/>
      <c r="I59" s="123">
        <f>G59/(1.0278-(0.0278*H59))</f>
        <v>0</v>
      </c>
      <c r="J59" s="124"/>
      <c r="K59" s="125"/>
      <c r="L59" s="123">
        <f>J59/(1.0278-(0.0278*K59))</f>
        <v>0</v>
      </c>
      <c r="M59" s="124"/>
      <c r="N59" s="125"/>
      <c r="O59" s="123">
        <f>M59/(1.0278-(0.0278*N59))</f>
        <v>0</v>
      </c>
      <c r="P59" s="124"/>
      <c r="Q59" s="125"/>
      <c r="R59" s="123">
        <f>P59/(1.0278-(0.0278*Q59))</f>
        <v>0</v>
      </c>
      <c r="S59" s="124"/>
      <c r="T59" s="125"/>
      <c r="U59" s="123">
        <f>S59/(1.0278-(0.0278*T59))</f>
        <v>0</v>
      </c>
      <c r="V59" s="126">
        <f>+G59*H59+J59*K59+M59*N59+P59*Q59+S59*T59</f>
        <v>0</v>
      </c>
      <c r="W59" s="12"/>
      <c r="X59" s="13"/>
      <c r="Y59" s="127"/>
      <c r="Z59" s="128"/>
      <c r="AA59" s="129"/>
      <c r="AB59" s="95"/>
      <c r="AC59" s="95"/>
      <c r="AD59" s="95"/>
      <c r="AE59" s="95"/>
      <c r="AF59" s="95"/>
      <c r="AG59" s="95"/>
      <c r="AH59" s="95"/>
      <c r="AI59" s="95"/>
      <c r="AJ59" s="95"/>
      <c r="AK59" s="95"/>
      <c r="AL59" s="95"/>
      <c r="AM59" s="95"/>
      <c r="AN59" s="95"/>
      <c r="AO59" s="95"/>
      <c r="AP59" s="95"/>
      <c r="AQ59" s="95"/>
      <c r="AR59" s="95"/>
      <c r="AS59" s="95"/>
    </row>
    <row r="60" ht="15.0" customHeight="1">
      <c r="A60" s="106" t="s">
        <v>68</v>
      </c>
      <c r="B60" s="135" t="s">
        <v>35</v>
      </c>
      <c r="C60" s="108" t="s">
        <v>6</v>
      </c>
      <c r="D60" s="108" t="s">
        <v>7</v>
      </c>
      <c r="E60" s="108" t="s">
        <v>8</v>
      </c>
      <c r="F60" s="108" t="s">
        <v>28</v>
      </c>
      <c r="G60" s="109" t="s">
        <v>10</v>
      </c>
      <c r="H60" s="110" t="s">
        <v>11</v>
      </c>
      <c r="I60" s="111" t="s">
        <v>12</v>
      </c>
      <c r="J60" s="109" t="s">
        <v>10</v>
      </c>
      <c r="K60" s="110" t="s">
        <v>11</v>
      </c>
      <c r="L60" s="111" t="s">
        <v>12</v>
      </c>
      <c r="M60" s="109" t="s">
        <v>10</v>
      </c>
      <c r="N60" s="110" t="s">
        <v>11</v>
      </c>
      <c r="O60" s="111" t="s">
        <v>12</v>
      </c>
      <c r="P60" s="109" t="s">
        <v>10</v>
      </c>
      <c r="Q60" s="110" t="s">
        <v>11</v>
      </c>
      <c r="R60" s="111" t="s">
        <v>12</v>
      </c>
      <c r="S60" s="109" t="s">
        <v>10</v>
      </c>
      <c r="T60" s="110" t="s">
        <v>11</v>
      </c>
      <c r="U60" s="111" t="s">
        <v>12</v>
      </c>
      <c r="V60" s="112" t="s">
        <v>13</v>
      </c>
      <c r="W60" s="93"/>
      <c r="X60" s="94"/>
      <c r="Y60" s="113" t="s">
        <v>69</v>
      </c>
      <c r="Z60" s="93"/>
      <c r="AA60" s="94"/>
      <c r="AB60" s="95"/>
      <c r="AC60" s="95"/>
      <c r="AD60" s="95"/>
      <c r="AE60" s="95"/>
      <c r="AF60" s="95"/>
      <c r="AG60" s="95"/>
      <c r="AH60" s="95"/>
      <c r="AI60" s="95"/>
      <c r="AJ60" s="95"/>
      <c r="AK60" s="95"/>
      <c r="AL60" s="95"/>
      <c r="AM60" s="95"/>
      <c r="AN60" s="95"/>
      <c r="AO60" s="95"/>
      <c r="AP60" s="95"/>
      <c r="AQ60" s="95"/>
      <c r="AR60" s="95"/>
      <c r="AS60" s="95"/>
    </row>
    <row r="61" ht="15.0" customHeight="1">
      <c r="A61" s="139" t="s">
        <v>90</v>
      </c>
      <c r="B61" s="140" t="s">
        <v>139</v>
      </c>
      <c r="C61" s="141"/>
      <c r="D61" s="142"/>
      <c r="E61" s="142"/>
      <c r="F61" s="142"/>
      <c r="G61" s="124"/>
      <c r="H61" s="125"/>
      <c r="I61" s="123">
        <f>G61/(1.0278-(0.0278*H61))</f>
        <v>0</v>
      </c>
      <c r="J61" s="124"/>
      <c r="K61" s="125"/>
      <c r="L61" s="123">
        <f>J61/(1.0278-(0.0278*K61))</f>
        <v>0</v>
      </c>
      <c r="M61" s="124"/>
      <c r="N61" s="125"/>
      <c r="O61" s="123">
        <f>M61/(1.0278-(0.0278*N61))</f>
        <v>0</v>
      </c>
      <c r="P61" s="124"/>
      <c r="Q61" s="125"/>
      <c r="R61" s="123">
        <f>P61/(1.0278-(0.0278*Q61))</f>
        <v>0</v>
      </c>
      <c r="S61" s="124"/>
      <c r="T61" s="125"/>
      <c r="U61" s="123">
        <f>S61/(1.0278-(0.0278*T61))</f>
        <v>0</v>
      </c>
      <c r="V61" s="126">
        <f>+G61*H61+J61*K61+M61*N61+P61*Q61+S61*T61</f>
        <v>0</v>
      </c>
      <c r="W61" s="12"/>
      <c r="X61" s="13"/>
      <c r="Y61" s="127"/>
      <c r="Z61" s="128"/>
      <c r="AA61" s="129"/>
      <c r="AB61" s="95"/>
      <c r="AC61" s="95"/>
      <c r="AD61" s="95"/>
      <c r="AE61" s="95"/>
      <c r="AF61" s="95"/>
      <c r="AG61" s="95"/>
      <c r="AH61" s="95"/>
      <c r="AI61" s="95"/>
      <c r="AJ61" s="95"/>
      <c r="AK61" s="95"/>
      <c r="AL61" s="95"/>
      <c r="AM61" s="95"/>
      <c r="AN61" s="95"/>
      <c r="AO61" s="95"/>
      <c r="AP61" s="95"/>
      <c r="AQ61" s="95"/>
      <c r="AR61" s="95"/>
      <c r="AS61" s="95"/>
    </row>
    <row r="62" ht="15.0" customHeight="1">
      <c r="A62" s="106" t="s">
        <v>68</v>
      </c>
      <c r="B62" s="135" t="s">
        <v>37</v>
      </c>
      <c r="C62" s="143" t="s">
        <v>6</v>
      </c>
      <c r="D62" s="143" t="s">
        <v>7</v>
      </c>
      <c r="E62" s="144" t="s">
        <v>8</v>
      </c>
      <c r="F62" s="108" t="s">
        <v>28</v>
      </c>
      <c r="G62" s="109" t="s">
        <v>10</v>
      </c>
      <c r="H62" s="110" t="s">
        <v>11</v>
      </c>
      <c r="I62" s="111" t="s">
        <v>12</v>
      </c>
      <c r="J62" s="109" t="s">
        <v>10</v>
      </c>
      <c r="K62" s="110" t="s">
        <v>11</v>
      </c>
      <c r="L62" s="111" t="s">
        <v>12</v>
      </c>
      <c r="M62" s="109" t="s">
        <v>10</v>
      </c>
      <c r="N62" s="110" t="s">
        <v>11</v>
      </c>
      <c r="O62" s="111" t="s">
        <v>12</v>
      </c>
      <c r="P62" s="109" t="s">
        <v>10</v>
      </c>
      <c r="Q62" s="110" t="s">
        <v>11</v>
      </c>
      <c r="R62" s="111" t="s">
        <v>12</v>
      </c>
      <c r="S62" s="109" t="s">
        <v>10</v>
      </c>
      <c r="T62" s="110" t="s">
        <v>11</v>
      </c>
      <c r="U62" s="111" t="s">
        <v>12</v>
      </c>
      <c r="V62" s="112" t="s">
        <v>13</v>
      </c>
      <c r="W62" s="93"/>
      <c r="X62" s="94"/>
      <c r="Y62" s="113" t="s">
        <v>69</v>
      </c>
      <c r="Z62" s="93"/>
      <c r="AA62" s="94"/>
      <c r="AB62" s="95"/>
      <c r="AC62" s="95"/>
      <c r="AD62" s="95"/>
      <c r="AE62" s="95"/>
      <c r="AF62" s="95"/>
      <c r="AG62" s="95"/>
      <c r="AH62" s="95"/>
      <c r="AI62" s="95"/>
      <c r="AJ62" s="95"/>
      <c r="AK62" s="95"/>
      <c r="AL62" s="95"/>
      <c r="AM62" s="95"/>
      <c r="AN62" s="95"/>
      <c r="AO62" s="95"/>
      <c r="AP62" s="95"/>
      <c r="AQ62" s="95"/>
      <c r="AR62" s="95"/>
      <c r="AS62" s="95"/>
    </row>
    <row r="63" ht="15.0" customHeight="1">
      <c r="A63" s="145" t="s">
        <v>92</v>
      </c>
      <c r="B63" s="140" t="s">
        <v>140</v>
      </c>
      <c r="C63" s="146" t="s">
        <v>94</v>
      </c>
      <c r="D63" s="147" t="s">
        <v>39</v>
      </c>
      <c r="E63" s="142"/>
      <c r="F63" s="147" t="s">
        <v>17</v>
      </c>
      <c r="G63" s="124"/>
      <c r="H63" s="125"/>
      <c r="I63" s="123">
        <f t="shared" ref="I63:I68" si="37">G63/(1.0278-(0.0278*H63))</f>
        <v>0</v>
      </c>
      <c r="J63" s="124"/>
      <c r="K63" s="125"/>
      <c r="L63" s="123">
        <f t="shared" ref="L63:L68" si="38">J63/(1.0278-(0.0278*K63))</f>
        <v>0</v>
      </c>
      <c r="M63" s="124"/>
      <c r="N63" s="125"/>
      <c r="O63" s="123">
        <f t="shared" ref="O63:O68" si="39">M63/(1.0278-(0.0278*N63))</f>
        <v>0</v>
      </c>
      <c r="P63" s="124"/>
      <c r="Q63" s="125"/>
      <c r="R63" s="123">
        <f t="shared" ref="R63:R68" si="40">P63/(1.0278-(0.0278*Q63))</f>
        <v>0</v>
      </c>
      <c r="S63" s="124"/>
      <c r="T63" s="125"/>
      <c r="U63" s="123">
        <f t="shared" ref="U63:U68" si="41">S63/(1.0278-(0.0278*T63))</f>
        <v>0</v>
      </c>
      <c r="V63" s="126">
        <f t="shared" ref="V63:V68" si="42">+G63*H63+J63*K63+M63*N63+P63*Q63+S63*T63</f>
        <v>0</v>
      </c>
      <c r="W63" s="12"/>
      <c r="X63" s="13"/>
      <c r="Y63" s="148"/>
      <c r="Z63" s="128"/>
      <c r="AA63" s="129"/>
      <c r="AB63" s="95"/>
      <c r="AC63" s="95"/>
      <c r="AD63" s="95"/>
      <c r="AE63" s="95"/>
      <c r="AF63" s="95"/>
      <c r="AG63" s="95"/>
      <c r="AH63" s="95"/>
      <c r="AI63" s="95"/>
      <c r="AJ63" s="95"/>
      <c r="AK63" s="95"/>
      <c r="AL63" s="95"/>
      <c r="AM63" s="95"/>
      <c r="AN63" s="95"/>
      <c r="AO63" s="95"/>
      <c r="AP63" s="95"/>
      <c r="AQ63" s="95"/>
      <c r="AR63" s="95"/>
      <c r="AS63" s="95"/>
    </row>
    <row r="64" ht="15.0" customHeight="1">
      <c r="A64" s="116" t="s">
        <v>95</v>
      </c>
      <c r="B64" s="117" t="s">
        <v>141</v>
      </c>
      <c r="C64" s="118" t="s">
        <v>106</v>
      </c>
      <c r="D64" s="119" t="s">
        <v>39</v>
      </c>
      <c r="E64" s="120"/>
      <c r="F64" s="119" t="s">
        <v>17</v>
      </c>
      <c r="G64" s="124"/>
      <c r="H64" s="125"/>
      <c r="I64" s="123">
        <f t="shared" si="37"/>
        <v>0</v>
      </c>
      <c r="J64" s="124"/>
      <c r="K64" s="125"/>
      <c r="L64" s="123">
        <f t="shared" si="38"/>
        <v>0</v>
      </c>
      <c r="M64" s="124"/>
      <c r="N64" s="125"/>
      <c r="O64" s="123">
        <f t="shared" si="39"/>
        <v>0</v>
      </c>
      <c r="P64" s="124"/>
      <c r="Q64" s="125"/>
      <c r="R64" s="123">
        <f t="shared" si="40"/>
        <v>0</v>
      </c>
      <c r="S64" s="124"/>
      <c r="T64" s="125"/>
      <c r="U64" s="123">
        <f t="shared" si="41"/>
        <v>0</v>
      </c>
      <c r="V64" s="126">
        <f t="shared" si="42"/>
        <v>0</v>
      </c>
      <c r="W64" s="12"/>
      <c r="X64" s="13"/>
      <c r="Y64" s="127"/>
      <c r="Z64" s="128"/>
      <c r="AA64" s="129"/>
      <c r="AB64" s="95"/>
      <c r="AC64" s="95"/>
      <c r="AD64" s="95"/>
      <c r="AE64" s="95"/>
      <c r="AF64" s="95"/>
      <c r="AG64" s="95"/>
      <c r="AH64" s="95"/>
      <c r="AI64" s="95"/>
      <c r="AJ64" s="95"/>
      <c r="AK64" s="95"/>
      <c r="AL64" s="95"/>
      <c r="AM64" s="95"/>
      <c r="AN64" s="95"/>
      <c r="AO64" s="95"/>
      <c r="AP64" s="95"/>
      <c r="AQ64" s="95"/>
      <c r="AR64" s="95"/>
      <c r="AS64" s="95"/>
    </row>
    <row r="65" ht="15.0" customHeight="1">
      <c r="A65" s="116" t="s">
        <v>97</v>
      </c>
      <c r="B65" s="117" t="s">
        <v>142</v>
      </c>
      <c r="C65" s="118" t="s">
        <v>15</v>
      </c>
      <c r="D65" s="119" t="s">
        <v>39</v>
      </c>
      <c r="E65" s="120"/>
      <c r="F65" s="119" t="s">
        <v>17</v>
      </c>
      <c r="G65" s="124"/>
      <c r="H65" s="125"/>
      <c r="I65" s="123">
        <f t="shared" si="37"/>
        <v>0</v>
      </c>
      <c r="J65" s="124"/>
      <c r="K65" s="125"/>
      <c r="L65" s="123">
        <f t="shared" si="38"/>
        <v>0</v>
      </c>
      <c r="M65" s="124"/>
      <c r="N65" s="125"/>
      <c r="O65" s="123">
        <f t="shared" si="39"/>
        <v>0</v>
      </c>
      <c r="P65" s="124"/>
      <c r="Q65" s="125"/>
      <c r="R65" s="123">
        <f t="shared" si="40"/>
        <v>0</v>
      </c>
      <c r="S65" s="124"/>
      <c r="T65" s="125"/>
      <c r="U65" s="123">
        <f t="shared" si="41"/>
        <v>0</v>
      </c>
      <c r="V65" s="126">
        <f t="shared" si="42"/>
        <v>0</v>
      </c>
      <c r="W65" s="12"/>
      <c r="X65" s="13"/>
      <c r="Y65" s="127"/>
      <c r="Z65" s="128"/>
      <c r="AA65" s="129"/>
      <c r="AB65" s="95"/>
      <c r="AC65" s="95"/>
      <c r="AD65" s="95"/>
      <c r="AE65" s="95"/>
      <c r="AF65" s="95"/>
      <c r="AG65" s="95"/>
      <c r="AH65" s="95"/>
      <c r="AI65" s="95"/>
      <c r="AJ65" s="95"/>
      <c r="AK65" s="95"/>
      <c r="AL65" s="95"/>
      <c r="AM65" s="95"/>
      <c r="AN65" s="95"/>
      <c r="AO65" s="95"/>
      <c r="AP65" s="95"/>
      <c r="AQ65" s="95"/>
      <c r="AR65" s="95"/>
      <c r="AS65" s="95"/>
    </row>
    <row r="66" ht="15.0" customHeight="1">
      <c r="A66" s="116" t="s">
        <v>99</v>
      </c>
      <c r="B66" s="117" t="s">
        <v>143</v>
      </c>
      <c r="C66" s="118" t="s">
        <v>15</v>
      </c>
      <c r="D66" s="119" t="s">
        <v>39</v>
      </c>
      <c r="E66" s="120"/>
      <c r="F66" s="119" t="s">
        <v>17</v>
      </c>
      <c r="G66" s="124"/>
      <c r="H66" s="125"/>
      <c r="I66" s="123">
        <f t="shared" si="37"/>
        <v>0</v>
      </c>
      <c r="J66" s="124"/>
      <c r="K66" s="125"/>
      <c r="L66" s="123">
        <f t="shared" si="38"/>
        <v>0</v>
      </c>
      <c r="M66" s="124"/>
      <c r="N66" s="125"/>
      <c r="O66" s="123">
        <f t="shared" si="39"/>
        <v>0</v>
      </c>
      <c r="P66" s="124"/>
      <c r="Q66" s="125"/>
      <c r="R66" s="123">
        <f t="shared" si="40"/>
        <v>0</v>
      </c>
      <c r="S66" s="124"/>
      <c r="T66" s="125"/>
      <c r="U66" s="123">
        <f t="shared" si="41"/>
        <v>0</v>
      </c>
      <c r="V66" s="126">
        <f t="shared" si="42"/>
        <v>0</v>
      </c>
      <c r="W66" s="12"/>
      <c r="X66" s="13"/>
      <c r="Y66" s="127"/>
      <c r="Z66" s="128"/>
      <c r="AA66" s="129"/>
      <c r="AB66" s="95"/>
      <c r="AC66" s="95"/>
      <c r="AD66" s="95"/>
      <c r="AE66" s="95"/>
      <c r="AF66" s="95"/>
      <c r="AG66" s="95"/>
      <c r="AH66" s="95"/>
      <c r="AI66" s="95"/>
      <c r="AJ66" s="95"/>
      <c r="AK66" s="95"/>
      <c r="AL66" s="95"/>
      <c r="AM66" s="95"/>
      <c r="AN66" s="95"/>
      <c r="AO66" s="95"/>
      <c r="AP66" s="95"/>
      <c r="AQ66" s="95"/>
      <c r="AR66" s="95"/>
      <c r="AS66" s="95"/>
    </row>
    <row r="67" ht="15.0" customHeight="1">
      <c r="A67" s="116" t="s">
        <v>101</v>
      </c>
      <c r="B67" s="117" t="s">
        <v>144</v>
      </c>
      <c r="C67" s="118" t="s">
        <v>15</v>
      </c>
      <c r="D67" s="119" t="s">
        <v>107</v>
      </c>
      <c r="E67" s="120"/>
      <c r="F67" s="119" t="s">
        <v>17</v>
      </c>
      <c r="G67" s="124"/>
      <c r="H67" s="125"/>
      <c r="I67" s="123">
        <f t="shared" si="37"/>
        <v>0</v>
      </c>
      <c r="J67" s="124"/>
      <c r="K67" s="125"/>
      <c r="L67" s="123">
        <f t="shared" si="38"/>
        <v>0</v>
      </c>
      <c r="M67" s="124"/>
      <c r="N67" s="125"/>
      <c r="O67" s="123">
        <f t="shared" si="39"/>
        <v>0</v>
      </c>
      <c r="P67" s="124"/>
      <c r="Q67" s="125"/>
      <c r="R67" s="123">
        <f t="shared" si="40"/>
        <v>0</v>
      </c>
      <c r="S67" s="124"/>
      <c r="T67" s="125"/>
      <c r="U67" s="123">
        <f t="shared" si="41"/>
        <v>0</v>
      </c>
      <c r="V67" s="126">
        <f t="shared" si="42"/>
        <v>0</v>
      </c>
      <c r="W67" s="12"/>
      <c r="X67" s="13"/>
      <c r="Y67" s="127"/>
      <c r="Z67" s="128"/>
      <c r="AA67" s="129"/>
      <c r="AB67" s="95"/>
      <c r="AC67" s="95"/>
      <c r="AD67" s="95"/>
      <c r="AE67" s="95"/>
      <c r="AF67" s="95"/>
      <c r="AG67" s="95"/>
      <c r="AH67" s="95"/>
      <c r="AI67" s="95"/>
      <c r="AJ67" s="95"/>
      <c r="AK67" s="95"/>
      <c r="AL67" s="95"/>
      <c r="AM67" s="95"/>
      <c r="AN67" s="95"/>
      <c r="AO67" s="95"/>
      <c r="AP67" s="95"/>
      <c r="AQ67" s="95"/>
      <c r="AR67" s="95"/>
      <c r="AS67" s="95"/>
    </row>
    <row r="68" ht="15.0" customHeight="1">
      <c r="A68" s="116" t="s">
        <v>103</v>
      </c>
      <c r="B68" s="117" t="s">
        <v>145</v>
      </c>
      <c r="C68" s="118" t="s">
        <v>94</v>
      </c>
      <c r="D68" s="119" t="s">
        <v>39</v>
      </c>
      <c r="E68" s="120"/>
      <c r="F68" s="119" t="s">
        <v>17</v>
      </c>
      <c r="G68" s="124"/>
      <c r="H68" s="125"/>
      <c r="I68" s="123">
        <f t="shared" si="37"/>
        <v>0</v>
      </c>
      <c r="J68" s="124"/>
      <c r="K68" s="125"/>
      <c r="L68" s="123">
        <f t="shared" si="38"/>
        <v>0</v>
      </c>
      <c r="M68" s="124"/>
      <c r="N68" s="125"/>
      <c r="O68" s="123">
        <f t="shared" si="39"/>
        <v>0</v>
      </c>
      <c r="P68" s="124"/>
      <c r="Q68" s="125"/>
      <c r="R68" s="123">
        <f t="shared" si="40"/>
        <v>0</v>
      </c>
      <c r="S68" s="124"/>
      <c r="T68" s="125"/>
      <c r="U68" s="123">
        <f t="shared" si="41"/>
        <v>0</v>
      </c>
      <c r="V68" s="126">
        <f t="shared" si="42"/>
        <v>0</v>
      </c>
      <c r="W68" s="12"/>
      <c r="X68" s="13"/>
      <c r="Y68" s="127"/>
      <c r="Z68" s="128"/>
      <c r="AA68" s="129"/>
      <c r="AB68" s="95"/>
      <c r="AC68" s="95"/>
      <c r="AD68" s="95"/>
      <c r="AE68" s="95"/>
      <c r="AF68" s="95"/>
      <c r="AG68" s="95"/>
      <c r="AH68" s="95"/>
      <c r="AI68" s="95"/>
      <c r="AJ68" s="95"/>
      <c r="AK68" s="95"/>
      <c r="AL68" s="95"/>
      <c r="AM68" s="95"/>
      <c r="AN68" s="95"/>
      <c r="AO68" s="95"/>
      <c r="AP68" s="95"/>
      <c r="AQ68" s="95"/>
      <c r="AR68" s="95"/>
      <c r="AS68" s="95"/>
    </row>
    <row r="69" ht="15.0" customHeight="1">
      <c r="A69" s="130"/>
      <c r="B69" s="117" t="s">
        <v>146</v>
      </c>
      <c r="C69" s="118" t="s">
        <v>123</v>
      </c>
      <c r="D69" s="119" t="s">
        <v>147</v>
      </c>
      <c r="E69" s="120"/>
      <c r="F69" s="119"/>
      <c r="G69" s="124"/>
      <c r="H69" s="125"/>
      <c r="I69" s="123"/>
      <c r="J69" s="124"/>
      <c r="K69" s="125"/>
      <c r="L69" s="123"/>
      <c r="M69" s="124"/>
      <c r="N69" s="125"/>
      <c r="O69" s="123"/>
      <c r="P69" s="124"/>
      <c r="Q69" s="125"/>
      <c r="R69" s="123"/>
      <c r="S69" s="124"/>
      <c r="T69" s="125"/>
      <c r="U69" s="123"/>
      <c r="V69" s="131"/>
      <c r="W69" s="131"/>
      <c r="X69" s="131"/>
      <c r="Y69" s="175"/>
      <c r="Z69" s="175"/>
      <c r="AA69" s="175"/>
      <c r="AB69" s="95"/>
      <c r="AC69" s="95"/>
      <c r="AD69" s="95"/>
      <c r="AE69" s="95"/>
      <c r="AF69" s="95"/>
      <c r="AG69" s="95"/>
      <c r="AH69" s="95"/>
      <c r="AI69" s="95"/>
      <c r="AJ69" s="95"/>
      <c r="AK69" s="95"/>
      <c r="AL69" s="95"/>
      <c r="AM69" s="95"/>
      <c r="AN69" s="95"/>
      <c r="AO69" s="95"/>
      <c r="AP69" s="95"/>
      <c r="AQ69" s="95"/>
      <c r="AR69" s="95"/>
      <c r="AS69" s="95"/>
    </row>
    <row r="70" ht="15.0" customHeight="1">
      <c r="A70" s="130"/>
      <c r="B70" s="117" t="s">
        <v>148</v>
      </c>
      <c r="C70" s="118" t="s">
        <v>15</v>
      </c>
      <c r="D70" s="119" t="s">
        <v>89</v>
      </c>
      <c r="E70" s="120"/>
      <c r="F70" s="119" t="s">
        <v>17</v>
      </c>
      <c r="G70" s="124"/>
      <c r="H70" s="125"/>
      <c r="I70" s="123">
        <f>G70/(1.0278-(0.0278*H70))</f>
        <v>0</v>
      </c>
      <c r="J70" s="124"/>
      <c r="K70" s="125"/>
      <c r="L70" s="123">
        <f>J70/(1.0278-(0.0278*K70))</f>
        <v>0</v>
      </c>
      <c r="M70" s="124"/>
      <c r="N70" s="125"/>
      <c r="O70" s="123">
        <f>M70/(1.0278-(0.0278*N70))</f>
        <v>0</v>
      </c>
      <c r="P70" s="124"/>
      <c r="Q70" s="125"/>
      <c r="R70" s="123">
        <f>P70/(1.0278-(0.0278*Q70))</f>
        <v>0</v>
      </c>
      <c r="S70" s="124"/>
      <c r="T70" s="125"/>
      <c r="U70" s="123">
        <f>S70/(1.0278-(0.0278*T70))</f>
        <v>0</v>
      </c>
      <c r="V70" s="126">
        <f>+G70*H70+J70*K70+M70*N70+P70*Q70+S70*T70</f>
        <v>0</v>
      </c>
      <c r="W70" s="12"/>
      <c r="X70" s="13"/>
      <c r="Y70" s="148"/>
      <c r="Z70" s="128"/>
      <c r="AA70" s="129"/>
      <c r="AB70" s="95"/>
      <c r="AC70" s="95"/>
      <c r="AD70" s="95"/>
      <c r="AE70" s="95"/>
      <c r="AF70" s="95"/>
      <c r="AG70" s="95"/>
      <c r="AH70" s="95"/>
      <c r="AI70" s="95"/>
      <c r="AJ70" s="95"/>
      <c r="AK70" s="95"/>
      <c r="AL70" s="95"/>
      <c r="AM70" s="95"/>
      <c r="AN70" s="95"/>
      <c r="AO70" s="95"/>
      <c r="AP70" s="95"/>
      <c r="AQ70" s="95"/>
      <c r="AR70" s="95"/>
      <c r="AS70" s="95"/>
    </row>
    <row r="71" ht="15.0" customHeight="1">
      <c r="A71" s="106" t="s">
        <v>68</v>
      </c>
      <c r="B71" s="135" t="s">
        <v>42</v>
      </c>
      <c r="C71" s="143" t="s">
        <v>6</v>
      </c>
      <c r="D71" s="143" t="s">
        <v>7</v>
      </c>
      <c r="E71" s="144" t="s">
        <v>8</v>
      </c>
      <c r="F71" s="108" t="s">
        <v>28</v>
      </c>
      <c r="G71" s="109" t="s">
        <v>10</v>
      </c>
      <c r="H71" s="110" t="s">
        <v>11</v>
      </c>
      <c r="I71" s="111" t="s">
        <v>12</v>
      </c>
      <c r="J71" s="109" t="s">
        <v>10</v>
      </c>
      <c r="K71" s="110" t="s">
        <v>11</v>
      </c>
      <c r="L71" s="111" t="s">
        <v>12</v>
      </c>
      <c r="M71" s="109" t="s">
        <v>10</v>
      </c>
      <c r="N71" s="110" t="s">
        <v>11</v>
      </c>
      <c r="O71" s="111" t="s">
        <v>12</v>
      </c>
      <c r="P71" s="109" t="s">
        <v>10</v>
      </c>
      <c r="Q71" s="110" t="s">
        <v>11</v>
      </c>
      <c r="R71" s="111" t="s">
        <v>12</v>
      </c>
      <c r="S71" s="109" t="s">
        <v>10</v>
      </c>
      <c r="T71" s="110" t="s">
        <v>11</v>
      </c>
      <c r="U71" s="111" t="s">
        <v>12</v>
      </c>
      <c r="V71" s="112" t="s">
        <v>13</v>
      </c>
      <c r="W71" s="93"/>
      <c r="X71" s="94"/>
      <c r="Y71" s="113" t="s">
        <v>69</v>
      </c>
      <c r="Z71" s="93"/>
      <c r="AA71" s="94"/>
      <c r="AB71" s="95"/>
      <c r="AC71" s="95"/>
      <c r="AD71" s="95"/>
      <c r="AE71" s="95"/>
      <c r="AF71" s="95"/>
      <c r="AG71" s="95"/>
      <c r="AH71" s="95"/>
      <c r="AI71" s="95"/>
      <c r="AJ71" s="95"/>
      <c r="AK71" s="95"/>
      <c r="AL71" s="95"/>
      <c r="AM71" s="95"/>
      <c r="AN71" s="95"/>
      <c r="AO71" s="95"/>
      <c r="AP71" s="95"/>
      <c r="AQ71" s="95"/>
      <c r="AR71" s="95"/>
      <c r="AS71" s="95"/>
    </row>
    <row r="72" ht="15.0" customHeight="1">
      <c r="A72" s="116" t="s">
        <v>70</v>
      </c>
      <c r="B72" s="117" t="s">
        <v>149</v>
      </c>
      <c r="C72" s="118" t="s">
        <v>15</v>
      </c>
      <c r="D72" s="119" t="s">
        <v>26</v>
      </c>
      <c r="E72" s="120"/>
      <c r="F72" s="119" t="s">
        <v>17</v>
      </c>
      <c r="G72" s="124"/>
      <c r="H72" s="125"/>
      <c r="I72" s="123">
        <f t="shared" ref="I72:I76" si="43">G72/(1.0278-(0.0278*H72))</f>
        <v>0</v>
      </c>
      <c r="J72" s="124"/>
      <c r="K72" s="125"/>
      <c r="L72" s="123">
        <f t="shared" ref="L72:L76" si="44">J72/(1.0278-(0.0278*K72))</f>
        <v>0</v>
      </c>
      <c r="M72" s="124"/>
      <c r="N72" s="125"/>
      <c r="O72" s="123">
        <f t="shared" ref="O72:O76" si="45">M72/(1.0278-(0.0278*N72))</f>
        <v>0</v>
      </c>
      <c r="P72" s="124"/>
      <c r="Q72" s="125"/>
      <c r="R72" s="123">
        <f t="shared" ref="R72:R76" si="46">P72/(1.0278-(0.0278*Q72))</f>
        <v>0</v>
      </c>
      <c r="S72" s="124"/>
      <c r="T72" s="125"/>
      <c r="U72" s="123">
        <f t="shared" ref="U72:U76" si="47">S72/(1.0278-(0.0278*T72))</f>
        <v>0</v>
      </c>
      <c r="V72" s="126">
        <f t="shared" ref="V72:V76" si="48">+G72*H72+J72*K72+M72*N72+P72*Q72+S72*T72</f>
        <v>0</v>
      </c>
      <c r="W72" s="12"/>
      <c r="X72" s="13"/>
      <c r="Y72" s="127"/>
      <c r="Z72" s="128"/>
      <c r="AA72" s="129"/>
      <c r="AB72" s="95"/>
      <c r="AC72" s="95"/>
      <c r="AD72" s="95"/>
      <c r="AE72" s="95"/>
      <c r="AF72" s="95"/>
      <c r="AG72" s="95"/>
      <c r="AH72" s="95"/>
      <c r="AI72" s="95"/>
      <c r="AJ72" s="95"/>
      <c r="AK72" s="95"/>
      <c r="AL72" s="95"/>
      <c r="AM72" s="95"/>
      <c r="AN72" s="95"/>
      <c r="AO72" s="95"/>
      <c r="AP72" s="95"/>
      <c r="AQ72" s="95"/>
      <c r="AR72" s="95"/>
      <c r="AS72" s="95"/>
    </row>
    <row r="73" ht="15.0" customHeight="1">
      <c r="A73" s="116" t="s">
        <v>72</v>
      </c>
      <c r="B73" s="117" t="s">
        <v>150</v>
      </c>
      <c r="C73" s="118" t="s">
        <v>15</v>
      </c>
      <c r="D73" s="119" t="s">
        <v>26</v>
      </c>
      <c r="E73" s="120"/>
      <c r="F73" s="119" t="s">
        <v>17</v>
      </c>
      <c r="G73" s="124"/>
      <c r="H73" s="125"/>
      <c r="I73" s="123">
        <f t="shared" si="43"/>
        <v>0</v>
      </c>
      <c r="J73" s="124"/>
      <c r="K73" s="125"/>
      <c r="L73" s="123">
        <f t="shared" si="44"/>
        <v>0</v>
      </c>
      <c r="M73" s="124"/>
      <c r="N73" s="125"/>
      <c r="O73" s="123">
        <f t="shared" si="45"/>
        <v>0</v>
      </c>
      <c r="P73" s="124"/>
      <c r="Q73" s="125"/>
      <c r="R73" s="123">
        <f t="shared" si="46"/>
        <v>0</v>
      </c>
      <c r="S73" s="124"/>
      <c r="T73" s="125"/>
      <c r="U73" s="123">
        <f t="shared" si="47"/>
        <v>0</v>
      </c>
      <c r="V73" s="126">
        <f t="shared" si="48"/>
        <v>0</v>
      </c>
      <c r="W73" s="12"/>
      <c r="X73" s="13"/>
      <c r="Y73" s="127"/>
      <c r="Z73" s="128"/>
      <c r="AA73" s="129"/>
      <c r="AB73" s="95"/>
      <c r="AC73" s="95"/>
      <c r="AD73" s="95"/>
      <c r="AE73" s="95"/>
      <c r="AF73" s="95"/>
      <c r="AG73" s="95"/>
      <c r="AH73" s="95"/>
      <c r="AI73" s="95"/>
      <c r="AJ73" s="95"/>
      <c r="AK73" s="95"/>
      <c r="AL73" s="95"/>
      <c r="AM73" s="95"/>
      <c r="AN73" s="95"/>
      <c r="AO73" s="95"/>
      <c r="AP73" s="95"/>
      <c r="AQ73" s="95"/>
      <c r="AR73" s="95"/>
      <c r="AS73" s="95"/>
    </row>
    <row r="74" ht="15.0" customHeight="1">
      <c r="A74" s="116" t="s">
        <v>74</v>
      </c>
      <c r="B74" s="117" t="s">
        <v>151</v>
      </c>
      <c r="C74" s="118" t="s">
        <v>15</v>
      </c>
      <c r="D74" s="119" t="s">
        <v>39</v>
      </c>
      <c r="E74" s="120"/>
      <c r="F74" s="119" t="s">
        <v>17</v>
      </c>
      <c r="G74" s="124"/>
      <c r="H74" s="125"/>
      <c r="I74" s="123">
        <f t="shared" si="43"/>
        <v>0</v>
      </c>
      <c r="J74" s="124"/>
      <c r="K74" s="125"/>
      <c r="L74" s="123">
        <f t="shared" si="44"/>
        <v>0</v>
      </c>
      <c r="M74" s="124"/>
      <c r="N74" s="125"/>
      <c r="O74" s="123">
        <f t="shared" si="45"/>
        <v>0</v>
      </c>
      <c r="P74" s="124"/>
      <c r="Q74" s="125"/>
      <c r="R74" s="123">
        <f t="shared" si="46"/>
        <v>0</v>
      </c>
      <c r="S74" s="124"/>
      <c r="T74" s="125"/>
      <c r="U74" s="123">
        <f t="shared" si="47"/>
        <v>0</v>
      </c>
      <c r="V74" s="126">
        <f t="shared" si="48"/>
        <v>0</v>
      </c>
      <c r="W74" s="12"/>
      <c r="X74" s="13"/>
      <c r="Y74" s="127"/>
      <c r="Z74" s="128"/>
      <c r="AA74" s="129"/>
      <c r="AB74" s="95"/>
      <c r="AC74" s="95"/>
      <c r="AD74" s="95"/>
      <c r="AE74" s="95"/>
      <c r="AF74" s="95"/>
      <c r="AG74" s="95"/>
      <c r="AH74" s="95"/>
      <c r="AI74" s="95"/>
      <c r="AJ74" s="95"/>
      <c r="AK74" s="95"/>
      <c r="AL74" s="95"/>
      <c r="AM74" s="95"/>
      <c r="AN74" s="95"/>
      <c r="AO74" s="95"/>
      <c r="AP74" s="95"/>
      <c r="AQ74" s="95"/>
      <c r="AR74" s="95"/>
      <c r="AS74" s="95"/>
    </row>
    <row r="75" ht="15.0" customHeight="1">
      <c r="A75" s="116" t="s">
        <v>77</v>
      </c>
      <c r="B75" s="117" t="s">
        <v>152</v>
      </c>
      <c r="C75" s="118" t="s">
        <v>15</v>
      </c>
      <c r="D75" s="119" t="s">
        <v>39</v>
      </c>
      <c r="E75" s="120"/>
      <c r="F75" s="119" t="s">
        <v>17</v>
      </c>
      <c r="G75" s="124"/>
      <c r="H75" s="125"/>
      <c r="I75" s="123">
        <f t="shared" si="43"/>
        <v>0</v>
      </c>
      <c r="J75" s="124"/>
      <c r="K75" s="125"/>
      <c r="L75" s="123">
        <f t="shared" si="44"/>
        <v>0</v>
      </c>
      <c r="M75" s="124"/>
      <c r="N75" s="125"/>
      <c r="O75" s="123">
        <f t="shared" si="45"/>
        <v>0</v>
      </c>
      <c r="P75" s="124"/>
      <c r="Q75" s="125"/>
      <c r="R75" s="123">
        <f t="shared" si="46"/>
        <v>0</v>
      </c>
      <c r="S75" s="124"/>
      <c r="T75" s="125"/>
      <c r="U75" s="123">
        <f t="shared" si="47"/>
        <v>0</v>
      </c>
      <c r="V75" s="126">
        <f t="shared" si="48"/>
        <v>0</v>
      </c>
      <c r="W75" s="12"/>
      <c r="X75" s="13"/>
      <c r="Y75" s="148"/>
      <c r="Z75" s="128"/>
      <c r="AA75" s="129"/>
      <c r="AB75" s="95"/>
      <c r="AC75" s="95"/>
      <c r="AD75" s="95"/>
      <c r="AE75" s="95"/>
      <c r="AF75" s="95"/>
      <c r="AG75" s="95"/>
      <c r="AH75" s="95"/>
      <c r="AI75" s="95"/>
      <c r="AJ75" s="95"/>
      <c r="AK75" s="95"/>
      <c r="AL75" s="95"/>
      <c r="AM75" s="95"/>
      <c r="AN75" s="95"/>
      <c r="AO75" s="95"/>
      <c r="AP75" s="95"/>
      <c r="AQ75" s="95"/>
      <c r="AR75" s="95"/>
      <c r="AS75" s="95"/>
    </row>
    <row r="76" ht="15.0" customHeight="1">
      <c r="A76" s="149"/>
      <c r="B76" s="117" t="s">
        <v>153</v>
      </c>
      <c r="C76" s="118" t="s">
        <v>15</v>
      </c>
      <c r="D76" s="119" t="s">
        <v>107</v>
      </c>
      <c r="E76" s="120"/>
      <c r="F76" s="119" t="s">
        <v>17</v>
      </c>
      <c r="G76" s="124"/>
      <c r="H76" s="125"/>
      <c r="I76" s="123">
        <f t="shared" si="43"/>
        <v>0</v>
      </c>
      <c r="J76" s="124"/>
      <c r="K76" s="125"/>
      <c r="L76" s="123">
        <f t="shared" si="44"/>
        <v>0</v>
      </c>
      <c r="M76" s="124"/>
      <c r="N76" s="125"/>
      <c r="O76" s="123">
        <f t="shared" si="45"/>
        <v>0</v>
      </c>
      <c r="P76" s="124"/>
      <c r="Q76" s="125"/>
      <c r="R76" s="123">
        <f t="shared" si="46"/>
        <v>0</v>
      </c>
      <c r="S76" s="124"/>
      <c r="T76" s="125"/>
      <c r="U76" s="123">
        <f t="shared" si="47"/>
        <v>0</v>
      </c>
      <c r="V76" s="126">
        <f t="shared" si="48"/>
        <v>0</v>
      </c>
      <c r="W76" s="12"/>
      <c r="X76" s="13"/>
      <c r="Y76" s="127"/>
      <c r="Z76" s="128"/>
      <c r="AA76" s="129"/>
      <c r="AB76" s="95"/>
      <c r="AC76" s="95"/>
      <c r="AD76" s="95"/>
      <c r="AE76" s="95"/>
      <c r="AF76" s="95"/>
      <c r="AG76" s="95"/>
      <c r="AH76" s="95"/>
      <c r="AI76" s="95"/>
      <c r="AJ76" s="95"/>
      <c r="AK76" s="95"/>
      <c r="AL76" s="95"/>
      <c r="AM76" s="95"/>
      <c r="AN76" s="95"/>
      <c r="AO76" s="95"/>
      <c r="AP76" s="95"/>
      <c r="AQ76" s="95"/>
      <c r="AR76" s="95"/>
      <c r="AS76" s="95"/>
    </row>
    <row r="77" ht="15.0" customHeight="1">
      <c r="A77" s="176"/>
      <c r="B77" s="177" t="s">
        <v>154</v>
      </c>
      <c r="C77" s="178">
        <v>3.0</v>
      </c>
      <c r="D77" s="178" t="s">
        <v>107</v>
      </c>
      <c r="E77" s="179"/>
      <c r="F77" s="178">
        <v>60.0</v>
      </c>
      <c r="G77" s="179"/>
      <c r="H77" s="179"/>
      <c r="I77" s="179"/>
      <c r="J77" s="179"/>
      <c r="K77" s="179"/>
      <c r="L77" s="179"/>
      <c r="M77" s="179"/>
      <c r="N77" s="179"/>
      <c r="O77" s="179"/>
      <c r="P77" s="179"/>
      <c r="Q77" s="179"/>
      <c r="R77" s="179"/>
      <c r="S77" s="179"/>
      <c r="T77" s="179"/>
      <c r="U77" s="179"/>
      <c r="V77" s="179"/>
      <c r="W77" s="179"/>
      <c r="X77" s="179"/>
      <c r="Y77" s="179"/>
      <c r="Z77" s="179"/>
      <c r="AA77" s="164"/>
      <c r="AB77" s="95"/>
      <c r="AC77" s="95"/>
      <c r="AD77" s="95"/>
      <c r="AE77" s="95"/>
      <c r="AF77" s="95"/>
      <c r="AG77" s="95"/>
      <c r="AH77" s="95"/>
      <c r="AI77" s="95"/>
      <c r="AJ77" s="95"/>
      <c r="AK77" s="95"/>
      <c r="AL77" s="95"/>
      <c r="AM77" s="95"/>
      <c r="AN77" s="95"/>
      <c r="AO77" s="95"/>
      <c r="AP77" s="95"/>
      <c r="AQ77" s="95"/>
      <c r="AR77" s="95"/>
      <c r="AS77" s="95"/>
    </row>
    <row r="78" ht="15.0" customHeight="1">
      <c r="A78" s="176"/>
      <c r="B78" s="177" t="s">
        <v>82</v>
      </c>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c r="AA78" s="164"/>
      <c r="AB78" s="95"/>
      <c r="AC78" s="95"/>
      <c r="AD78" s="95"/>
      <c r="AE78" s="95"/>
      <c r="AF78" s="95"/>
      <c r="AG78" s="95"/>
      <c r="AH78" s="95"/>
      <c r="AI78" s="95"/>
      <c r="AJ78" s="95"/>
      <c r="AK78" s="95"/>
      <c r="AL78" s="95"/>
      <c r="AM78" s="95"/>
      <c r="AN78" s="95"/>
      <c r="AO78" s="95"/>
      <c r="AP78" s="95"/>
      <c r="AQ78" s="95"/>
      <c r="AR78" s="95"/>
      <c r="AS78" s="95"/>
    </row>
    <row r="79" ht="15.0" customHeight="1">
      <c r="A79" s="150" t="s">
        <v>68</v>
      </c>
      <c r="B79" s="151" t="s">
        <v>112</v>
      </c>
      <c r="C79" s="152" t="s">
        <v>6</v>
      </c>
      <c r="D79" s="152" t="s">
        <v>7</v>
      </c>
      <c r="E79" s="152" t="s">
        <v>8</v>
      </c>
      <c r="F79" s="152" t="s">
        <v>28</v>
      </c>
      <c r="G79" s="153" t="s">
        <v>10</v>
      </c>
      <c r="H79" s="153" t="s">
        <v>11</v>
      </c>
      <c r="I79" s="154" t="s">
        <v>12</v>
      </c>
      <c r="J79" s="153" t="s">
        <v>10</v>
      </c>
      <c r="K79" s="153" t="s">
        <v>11</v>
      </c>
      <c r="L79" s="154" t="s">
        <v>12</v>
      </c>
      <c r="M79" s="153" t="s">
        <v>10</v>
      </c>
      <c r="N79" s="153" t="s">
        <v>11</v>
      </c>
      <c r="O79" s="154" t="s">
        <v>12</v>
      </c>
      <c r="P79" s="153" t="s">
        <v>10</v>
      </c>
      <c r="Q79" s="153" t="s">
        <v>11</v>
      </c>
      <c r="R79" s="154" t="s">
        <v>12</v>
      </c>
      <c r="S79" s="153" t="s">
        <v>10</v>
      </c>
      <c r="T79" s="153" t="s">
        <v>11</v>
      </c>
      <c r="U79" s="154" t="s">
        <v>12</v>
      </c>
      <c r="V79" s="155" t="s">
        <v>13</v>
      </c>
      <c r="W79" s="93"/>
      <c r="X79" s="94"/>
      <c r="Y79" s="156" t="s">
        <v>69</v>
      </c>
      <c r="Z79" s="93"/>
      <c r="AA79" s="94"/>
      <c r="AB79" s="95"/>
      <c r="AC79" s="95"/>
      <c r="AD79" s="95"/>
      <c r="AE79" s="95"/>
      <c r="AF79" s="95"/>
      <c r="AG79" s="95"/>
      <c r="AH79" s="95"/>
      <c r="AI79" s="95"/>
      <c r="AJ79" s="95"/>
      <c r="AK79" s="95"/>
      <c r="AL79" s="95"/>
      <c r="AM79" s="95"/>
      <c r="AN79" s="95"/>
      <c r="AO79" s="95"/>
      <c r="AP79" s="95"/>
      <c r="AQ79" s="95"/>
      <c r="AR79" s="95"/>
      <c r="AS79" s="95"/>
    </row>
    <row r="80" ht="15.0" customHeight="1">
      <c r="A80" s="157" t="s">
        <v>90</v>
      </c>
      <c r="B80" s="158" t="s">
        <v>113</v>
      </c>
      <c r="C80" s="159"/>
      <c r="D80" s="159"/>
      <c r="E80" s="159"/>
      <c r="F80" s="160"/>
      <c r="G80" s="161"/>
      <c r="H80" s="161"/>
      <c r="I80" s="162"/>
      <c r="J80" s="161"/>
      <c r="K80" s="161"/>
      <c r="L80" s="162"/>
      <c r="M80" s="161"/>
      <c r="N80" s="161"/>
      <c r="O80" s="162"/>
      <c r="P80" s="161"/>
      <c r="Q80" s="161"/>
      <c r="R80" s="162"/>
      <c r="S80" s="161"/>
      <c r="T80" s="161"/>
      <c r="U80" s="162"/>
      <c r="V80" s="163"/>
      <c r="W80" s="163"/>
      <c r="X80" s="163"/>
      <c r="Y80" s="164"/>
      <c r="Z80" s="164"/>
      <c r="AA80" s="164"/>
      <c r="AB80" s="95"/>
      <c r="AC80" s="95"/>
      <c r="AD80" s="95"/>
      <c r="AE80" s="95"/>
      <c r="AF80" s="95"/>
      <c r="AG80" s="95"/>
      <c r="AH80" s="95"/>
      <c r="AI80" s="95"/>
      <c r="AJ80" s="95"/>
      <c r="AK80" s="95"/>
      <c r="AL80" s="95"/>
      <c r="AM80" s="95"/>
      <c r="AN80" s="95"/>
      <c r="AO80" s="95"/>
      <c r="AP80" s="95"/>
      <c r="AQ80" s="95"/>
      <c r="AR80" s="95"/>
      <c r="AS80" s="95"/>
    </row>
    <row r="81" ht="15.0" customHeight="1">
      <c r="A81" s="165"/>
      <c r="B81" s="166" t="s">
        <v>155</v>
      </c>
      <c r="C81" s="159"/>
      <c r="D81" s="159"/>
      <c r="E81" s="159"/>
      <c r="F81" s="160"/>
      <c r="G81" s="161"/>
      <c r="H81" s="161"/>
      <c r="I81" s="162"/>
      <c r="J81" s="161"/>
      <c r="K81" s="161"/>
      <c r="L81" s="162"/>
      <c r="M81" s="161"/>
      <c r="N81" s="161"/>
      <c r="O81" s="162"/>
      <c r="P81" s="161"/>
      <c r="Q81" s="161"/>
      <c r="R81" s="162"/>
      <c r="S81" s="161"/>
      <c r="T81" s="161"/>
      <c r="U81" s="162"/>
      <c r="V81" s="163"/>
      <c r="W81" s="163"/>
      <c r="X81" s="163"/>
      <c r="Y81" s="164"/>
      <c r="Z81" s="164"/>
      <c r="AA81" s="164"/>
      <c r="AB81" s="95"/>
      <c r="AC81" s="95"/>
      <c r="AD81" s="95"/>
      <c r="AE81" s="95"/>
      <c r="AF81" s="95"/>
      <c r="AG81" s="95"/>
      <c r="AH81" s="95"/>
      <c r="AI81" s="95"/>
      <c r="AJ81" s="95"/>
      <c r="AK81" s="95"/>
      <c r="AL81" s="95"/>
      <c r="AM81" s="95"/>
      <c r="AN81" s="95"/>
      <c r="AO81" s="95"/>
      <c r="AP81" s="95"/>
      <c r="AQ81" s="95"/>
      <c r="AR81" s="95"/>
      <c r="AS81" s="95"/>
    </row>
    <row r="82" ht="15.0" customHeight="1">
      <c r="A82" s="165"/>
      <c r="B82" s="166" t="s">
        <v>156</v>
      </c>
      <c r="C82" s="159"/>
      <c r="D82" s="159"/>
      <c r="E82" s="159"/>
      <c r="F82" s="160"/>
      <c r="G82" s="161"/>
      <c r="H82" s="161"/>
      <c r="I82" s="162"/>
      <c r="J82" s="161"/>
      <c r="K82" s="161"/>
      <c r="L82" s="162"/>
      <c r="M82" s="161"/>
      <c r="N82" s="161"/>
      <c r="O82" s="162"/>
      <c r="P82" s="161"/>
      <c r="Q82" s="161"/>
      <c r="R82" s="162"/>
      <c r="S82" s="161"/>
      <c r="T82" s="161"/>
      <c r="U82" s="162"/>
      <c r="V82" s="163"/>
      <c r="W82" s="163"/>
      <c r="X82" s="163"/>
      <c r="Y82" s="164"/>
      <c r="Z82" s="164"/>
      <c r="AA82" s="164"/>
      <c r="AB82" s="95"/>
      <c r="AC82" s="95"/>
      <c r="AD82" s="95"/>
      <c r="AE82" s="95"/>
      <c r="AF82" s="95"/>
      <c r="AG82" s="95"/>
      <c r="AH82" s="95"/>
      <c r="AI82" s="95"/>
      <c r="AJ82" s="95"/>
      <c r="AK82" s="95"/>
      <c r="AL82" s="95"/>
      <c r="AM82" s="95"/>
      <c r="AN82" s="95"/>
      <c r="AO82" s="95"/>
      <c r="AP82" s="95"/>
      <c r="AQ82" s="95"/>
      <c r="AR82" s="95"/>
      <c r="AS82" s="95"/>
    </row>
    <row r="83" ht="15.0" customHeight="1">
      <c r="A83" s="165"/>
      <c r="B83" s="166" t="s">
        <v>157</v>
      </c>
      <c r="C83" s="159"/>
      <c r="D83" s="159"/>
      <c r="E83" s="159"/>
      <c r="F83" s="160"/>
      <c r="G83" s="161"/>
      <c r="H83" s="161"/>
      <c r="I83" s="162"/>
      <c r="J83" s="161"/>
      <c r="K83" s="161"/>
      <c r="L83" s="162"/>
      <c r="M83" s="161"/>
      <c r="N83" s="161"/>
      <c r="O83" s="162"/>
      <c r="P83" s="161"/>
      <c r="Q83" s="161"/>
      <c r="R83" s="162"/>
      <c r="S83" s="161"/>
      <c r="T83" s="161"/>
      <c r="U83" s="162"/>
      <c r="V83" s="163"/>
      <c r="W83" s="163"/>
      <c r="X83" s="163"/>
      <c r="Y83" s="164"/>
      <c r="Z83" s="164"/>
      <c r="AA83" s="164"/>
      <c r="AB83" s="95"/>
      <c r="AC83" s="95"/>
      <c r="AD83" s="95"/>
      <c r="AE83" s="95"/>
      <c r="AF83" s="95"/>
      <c r="AG83" s="95"/>
      <c r="AH83" s="95"/>
      <c r="AI83" s="95"/>
      <c r="AJ83" s="95"/>
      <c r="AK83" s="95"/>
      <c r="AL83" s="95"/>
      <c r="AM83" s="95"/>
      <c r="AN83" s="95"/>
      <c r="AO83" s="95"/>
      <c r="AP83" s="95"/>
      <c r="AQ83" s="95"/>
      <c r="AR83" s="95"/>
      <c r="AS83" s="95"/>
    </row>
    <row r="84" ht="15.0" customHeight="1">
      <c r="A84" s="165"/>
      <c r="B84" s="166" t="s">
        <v>158</v>
      </c>
      <c r="C84" s="159"/>
      <c r="D84" s="159"/>
      <c r="E84" s="159"/>
      <c r="F84" s="160"/>
      <c r="G84" s="161"/>
      <c r="H84" s="161"/>
      <c r="I84" s="162"/>
      <c r="J84" s="161"/>
      <c r="K84" s="161"/>
      <c r="L84" s="162"/>
      <c r="M84" s="161"/>
      <c r="N84" s="161"/>
      <c r="O84" s="162"/>
      <c r="P84" s="161"/>
      <c r="Q84" s="161"/>
      <c r="R84" s="162"/>
      <c r="S84" s="161"/>
      <c r="T84" s="161"/>
      <c r="U84" s="162"/>
      <c r="V84" s="163"/>
      <c r="W84" s="163"/>
      <c r="X84" s="163"/>
      <c r="Y84" s="164"/>
      <c r="Z84" s="164"/>
      <c r="AA84" s="164"/>
      <c r="AB84" s="95"/>
      <c r="AC84" s="95"/>
      <c r="AD84" s="95"/>
      <c r="AE84" s="95"/>
      <c r="AF84" s="95"/>
      <c r="AG84" s="95"/>
      <c r="AH84" s="95"/>
      <c r="AI84" s="95"/>
      <c r="AJ84" s="95"/>
      <c r="AK84" s="95"/>
      <c r="AL84" s="95"/>
      <c r="AM84" s="95"/>
      <c r="AN84" s="95"/>
      <c r="AO84" s="95"/>
      <c r="AP84" s="95"/>
      <c r="AQ84" s="95"/>
      <c r="AR84" s="95"/>
      <c r="AS84" s="95"/>
    </row>
    <row r="85" ht="15.0" customHeight="1">
      <c r="A85" s="165"/>
      <c r="B85" s="166" t="s">
        <v>159</v>
      </c>
      <c r="C85" s="159"/>
      <c r="D85" s="159"/>
      <c r="E85" s="159"/>
      <c r="F85" s="160"/>
      <c r="G85" s="161"/>
      <c r="H85" s="161"/>
      <c r="I85" s="162"/>
      <c r="J85" s="161"/>
      <c r="K85" s="161"/>
      <c r="L85" s="162"/>
      <c r="M85" s="161"/>
      <c r="N85" s="161"/>
      <c r="O85" s="162"/>
      <c r="P85" s="161"/>
      <c r="Q85" s="161"/>
      <c r="R85" s="162"/>
      <c r="S85" s="161"/>
      <c r="T85" s="161"/>
      <c r="U85" s="162"/>
      <c r="V85" s="163"/>
      <c r="W85" s="163"/>
      <c r="X85" s="163"/>
      <c r="Y85" s="164"/>
      <c r="Z85" s="164"/>
      <c r="AA85" s="164"/>
      <c r="AB85" s="95"/>
      <c r="AC85" s="95"/>
      <c r="AD85" s="95"/>
      <c r="AE85" s="95"/>
      <c r="AF85" s="95"/>
      <c r="AG85" s="95"/>
      <c r="AH85" s="95"/>
      <c r="AI85" s="95"/>
      <c r="AJ85" s="95"/>
      <c r="AK85" s="95"/>
      <c r="AL85" s="95"/>
      <c r="AM85" s="95"/>
      <c r="AN85" s="95"/>
      <c r="AO85" s="95"/>
      <c r="AP85" s="95"/>
      <c r="AQ85" s="95"/>
      <c r="AR85" s="95"/>
      <c r="AS85" s="95"/>
    </row>
    <row r="86" ht="15.0" customHeight="1">
      <c r="A86" s="167"/>
      <c r="B86" s="166" t="s">
        <v>160</v>
      </c>
      <c r="C86" s="159"/>
      <c r="D86" s="159"/>
      <c r="E86" s="159"/>
      <c r="F86" s="160"/>
      <c r="G86" s="168"/>
      <c r="H86" s="168"/>
      <c r="I86" s="169">
        <f>G86/(1.0278-(0.0278*H86))</f>
        <v>0</v>
      </c>
      <c r="J86" s="168"/>
      <c r="K86" s="168"/>
      <c r="L86" s="169">
        <f>J86/(1.0278-(0.0278*K86))</f>
        <v>0</v>
      </c>
      <c r="M86" s="168"/>
      <c r="N86" s="168"/>
      <c r="O86" s="169">
        <f>M86/(1.0278-(0.0278*N86))</f>
        <v>0</v>
      </c>
      <c r="P86" s="168"/>
      <c r="Q86" s="168"/>
      <c r="R86" s="169">
        <f>P86/(1.0278-(0.0278*Q86))</f>
        <v>0</v>
      </c>
      <c r="S86" s="168"/>
      <c r="T86" s="168"/>
      <c r="U86" s="169">
        <f>S86/(1.0278-(0.0278*T86))</f>
        <v>0</v>
      </c>
      <c r="V86" s="170" t="str">
        <f>+I86*J86+L86*M86+O86*P86+R86*S86+U86*V86</f>
        <v>#REF!</v>
      </c>
      <c r="W86" s="97"/>
      <c r="X86" s="98"/>
      <c r="Y86" s="171"/>
      <c r="Z86" s="172"/>
      <c r="AA86" s="173"/>
      <c r="AB86" s="95"/>
      <c r="AC86" s="95"/>
      <c r="AD86" s="95"/>
      <c r="AE86" s="95"/>
      <c r="AF86" s="95"/>
      <c r="AG86" s="95"/>
      <c r="AH86" s="95"/>
      <c r="AI86" s="95"/>
      <c r="AJ86" s="95"/>
      <c r="AK86" s="95"/>
      <c r="AL86" s="95"/>
      <c r="AM86" s="95"/>
      <c r="AN86" s="95"/>
      <c r="AO86" s="95"/>
      <c r="AP86" s="95"/>
      <c r="AQ86" s="95"/>
      <c r="AR86" s="95"/>
      <c r="AS86" s="95"/>
    </row>
    <row r="87" ht="15.0" customHeight="1">
      <c r="AB87" s="95"/>
      <c r="AC87" s="95"/>
      <c r="AD87" s="95"/>
      <c r="AE87" s="95"/>
      <c r="AF87" s="95"/>
      <c r="AG87" s="95"/>
      <c r="AH87" s="95"/>
      <c r="AI87" s="95"/>
      <c r="AJ87" s="95"/>
      <c r="AK87" s="95"/>
      <c r="AL87" s="95"/>
      <c r="AM87" s="95"/>
      <c r="AN87" s="95"/>
      <c r="AO87" s="95"/>
      <c r="AP87" s="95"/>
      <c r="AQ87" s="95"/>
      <c r="AR87" s="95"/>
      <c r="AS87" s="95"/>
    </row>
    <row r="88" ht="15.0" customHeight="1">
      <c r="AB88" s="95"/>
      <c r="AC88" s="95"/>
      <c r="AD88" s="95"/>
      <c r="AE88" s="95"/>
      <c r="AF88" s="95"/>
      <c r="AG88" s="95"/>
      <c r="AH88" s="95"/>
      <c r="AI88" s="95"/>
      <c r="AJ88" s="95"/>
      <c r="AK88" s="95"/>
      <c r="AL88" s="95"/>
      <c r="AM88" s="95"/>
      <c r="AN88" s="95"/>
      <c r="AO88" s="95"/>
      <c r="AP88" s="95"/>
      <c r="AQ88" s="95"/>
      <c r="AR88" s="95"/>
      <c r="AS88" s="95"/>
    </row>
    <row r="89" ht="15.0" customHeight="1">
      <c r="AB89" s="95"/>
      <c r="AC89" s="95"/>
      <c r="AD89" s="95"/>
      <c r="AE89" s="95"/>
      <c r="AF89" s="95"/>
      <c r="AG89" s="95"/>
      <c r="AH89" s="95"/>
      <c r="AI89" s="95"/>
      <c r="AJ89" s="95"/>
      <c r="AK89" s="95"/>
      <c r="AL89" s="95"/>
      <c r="AM89" s="95"/>
      <c r="AN89" s="95"/>
      <c r="AO89" s="95"/>
      <c r="AP89" s="95"/>
      <c r="AQ89" s="95"/>
      <c r="AR89" s="95"/>
      <c r="AS89" s="95"/>
    </row>
    <row r="90" ht="15.0" customHeight="1">
      <c r="AB90" s="95"/>
      <c r="AC90" s="95"/>
      <c r="AD90" s="95"/>
      <c r="AE90" s="95"/>
      <c r="AF90" s="95"/>
      <c r="AG90" s="95"/>
      <c r="AH90" s="95"/>
      <c r="AI90" s="95"/>
      <c r="AJ90" s="95"/>
      <c r="AK90" s="95"/>
      <c r="AL90" s="95"/>
      <c r="AM90" s="95"/>
      <c r="AN90" s="95"/>
      <c r="AO90" s="95"/>
      <c r="AP90" s="95"/>
      <c r="AQ90" s="95"/>
      <c r="AR90" s="95"/>
      <c r="AS90" s="95"/>
    </row>
    <row r="91" ht="15.0" customHeight="1">
      <c r="AB91" s="95"/>
      <c r="AC91" s="95"/>
      <c r="AD91" s="95"/>
      <c r="AE91" s="95"/>
      <c r="AF91" s="95"/>
      <c r="AG91" s="95"/>
      <c r="AH91" s="95"/>
      <c r="AI91" s="95"/>
      <c r="AJ91" s="95"/>
      <c r="AK91" s="95"/>
      <c r="AL91" s="95"/>
      <c r="AM91" s="95"/>
      <c r="AN91" s="95"/>
      <c r="AO91" s="95"/>
      <c r="AP91" s="95"/>
      <c r="AQ91" s="95"/>
      <c r="AR91" s="95"/>
      <c r="AS91" s="95"/>
    </row>
    <row r="92" ht="15.0" customHeight="1">
      <c r="AB92" s="95"/>
      <c r="AC92" s="95"/>
      <c r="AD92" s="95"/>
      <c r="AE92" s="95"/>
      <c r="AF92" s="95"/>
      <c r="AG92" s="95"/>
      <c r="AH92" s="95"/>
      <c r="AI92" s="95"/>
      <c r="AJ92" s="95"/>
      <c r="AK92" s="95"/>
      <c r="AL92" s="95"/>
      <c r="AM92" s="95"/>
      <c r="AN92" s="95"/>
      <c r="AO92" s="95"/>
      <c r="AP92" s="95"/>
      <c r="AQ92" s="95"/>
      <c r="AR92" s="95"/>
      <c r="AS92" s="95"/>
    </row>
    <row r="93" ht="15.0" customHeight="1">
      <c r="AB93" s="95"/>
      <c r="AC93" s="95"/>
      <c r="AD93" s="95"/>
      <c r="AE93" s="95"/>
      <c r="AF93" s="95"/>
      <c r="AG93" s="95"/>
      <c r="AH93" s="95"/>
      <c r="AI93" s="95"/>
      <c r="AJ93" s="95"/>
      <c r="AK93" s="95"/>
      <c r="AL93" s="95"/>
      <c r="AM93" s="95"/>
      <c r="AN93" s="95"/>
      <c r="AO93" s="95"/>
      <c r="AP93" s="95"/>
      <c r="AQ93" s="95"/>
      <c r="AR93" s="95"/>
      <c r="AS93" s="95"/>
    </row>
    <row r="94" ht="15.0" customHeight="1">
      <c r="AB94" s="95"/>
      <c r="AC94" s="95"/>
      <c r="AD94" s="95"/>
      <c r="AE94" s="95"/>
      <c r="AF94" s="95"/>
      <c r="AG94" s="95"/>
      <c r="AH94" s="95"/>
      <c r="AI94" s="95"/>
      <c r="AJ94" s="95"/>
      <c r="AK94" s="95"/>
      <c r="AL94" s="95"/>
      <c r="AM94" s="95"/>
      <c r="AN94" s="95"/>
      <c r="AO94" s="95"/>
      <c r="AP94" s="95"/>
      <c r="AQ94" s="95"/>
      <c r="AR94" s="95"/>
      <c r="AS94" s="95"/>
    </row>
    <row r="95" ht="15.0" customHeight="1">
      <c r="AB95" s="95"/>
      <c r="AC95" s="95"/>
      <c r="AD95" s="95"/>
      <c r="AE95" s="95"/>
      <c r="AF95" s="95"/>
      <c r="AG95" s="95"/>
      <c r="AH95" s="95"/>
      <c r="AI95" s="95"/>
      <c r="AJ95" s="95"/>
      <c r="AK95" s="95"/>
      <c r="AL95" s="95"/>
      <c r="AM95" s="95"/>
      <c r="AN95" s="95"/>
      <c r="AO95" s="95"/>
      <c r="AP95" s="95"/>
      <c r="AQ95" s="95"/>
      <c r="AR95" s="95"/>
      <c r="AS95" s="95"/>
    </row>
    <row r="96" ht="15.0" customHeight="1">
      <c r="AB96" s="95"/>
      <c r="AC96" s="95"/>
      <c r="AD96" s="95"/>
      <c r="AE96" s="95"/>
      <c r="AF96" s="95"/>
      <c r="AG96" s="95"/>
      <c r="AH96" s="95"/>
      <c r="AI96" s="95"/>
      <c r="AJ96" s="95"/>
      <c r="AK96" s="95"/>
      <c r="AL96" s="95"/>
      <c r="AM96" s="95"/>
      <c r="AN96" s="95"/>
      <c r="AO96" s="95"/>
      <c r="AP96" s="95"/>
      <c r="AQ96" s="95"/>
      <c r="AR96" s="95"/>
      <c r="AS96" s="95"/>
    </row>
    <row r="97" ht="15.0" customHeight="1">
      <c r="AB97" s="95"/>
      <c r="AC97" s="95"/>
      <c r="AD97" s="95"/>
      <c r="AE97" s="95"/>
      <c r="AF97" s="95"/>
      <c r="AG97" s="95"/>
      <c r="AH97" s="95"/>
      <c r="AI97" s="95"/>
      <c r="AJ97" s="95"/>
      <c r="AK97" s="95"/>
      <c r="AL97" s="95"/>
      <c r="AM97" s="95"/>
      <c r="AN97" s="95"/>
      <c r="AO97" s="95"/>
      <c r="AP97" s="95"/>
      <c r="AQ97" s="95"/>
      <c r="AR97" s="95"/>
      <c r="AS97" s="95"/>
    </row>
    <row r="98" ht="15.0" customHeight="1">
      <c r="AB98" s="95"/>
      <c r="AC98" s="95"/>
      <c r="AD98" s="95"/>
      <c r="AE98" s="95"/>
      <c r="AF98" s="95"/>
      <c r="AG98" s="95"/>
      <c r="AH98" s="95"/>
      <c r="AI98" s="95"/>
      <c r="AJ98" s="95"/>
      <c r="AK98" s="95"/>
      <c r="AL98" s="95"/>
      <c r="AM98" s="95"/>
      <c r="AN98" s="95"/>
      <c r="AO98" s="95"/>
      <c r="AP98" s="95"/>
      <c r="AQ98" s="95"/>
      <c r="AR98" s="95"/>
      <c r="AS98" s="95"/>
    </row>
    <row r="99" ht="15.0" customHeight="1">
      <c r="AB99" s="95"/>
      <c r="AC99" s="95"/>
      <c r="AD99" s="95"/>
      <c r="AE99" s="95"/>
      <c r="AF99" s="95"/>
      <c r="AG99" s="95"/>
      <c r="AH99" s="95"/>
      <c r="AI99" s="95"/>
      <c r="AJ99" s="95"/>
      <c r="AK99" s="95"/>
      <c r="AL99" s="95"/>
      <c r="AM99" s="95"/>
      <c r="AN99" s="95"/>
      <c r="AO99" s="95"/>
      <c r="AP99" s="95"/>
      <c r="AQ99" s="95"/>
      <c r="AR99" s="95"/>
      <c r="AS99" s="95"/>
    </row>
    <row r="100" ht="15.0" customHeight="1">
      <c r="AB100" s="95"/>
      <c r="AC100" s="95"/>
      <c r="AD100" s="95"/>
      <c r="AE100" s="95"/>
      <c r="AF100" s="95"/>
      <c r="AG100" s="95"/>
      <c r="AH100" s="95"/>
      <c r="AI100" s="95"/>
      <c r="AJ100" s="95"/>
      <c r="AK100" s="95"/>
      <c r="AL100" s="95"/>
      <c r="AM100" s="95"/>
      <c r="AN100" s="95"/>
      <c r="AO100" s="95"/>
      <c r="AP100" s="95"/>
      <c r="AQ100" s="95"/>
      <c r="AR100" s="95"/>
      <c r="AS100" s="95"/>
    </row>
    <row r="101" ht="15.0" customHeight="1">
      <c r="AB101" s="95"/>
      <c r="AC101" s="95"/>
      <c r="AD101" s="95"/>
      <c r="AE101" s="95"/>
      <c r="AF101" s="95"/>
      <c r="AG101" s="95"/>
      <c r="AH101" s="95"/>
      <c r="AI101" s="95"/>
      <c r="AJ101" s="95"/>
      <c r="AK101" s="95"/>
      <c r="AL101" s="95"/>
      <c r="AM101" s="95"/>
      <c r="AN101" s="95"/>
      <c r="AO101" s="95"/>
      <c r="AP101" s="95"/>
      <c r="AQ101" s="95"/>
      <c r="AR101" s="95"/>
      <c r="AS101" s="95"/>
    </row>
    <row r="102" ht="15.0" customHeight="1">
      <c r="AB102" s="95"/>
      <c r="AC102" s="95"/>
      <c r="AD102" s="95"/>
      <c r="AE102" s="95"/>
      <c r="AF102" s="95"/>
      <c r="AG102" s="95"/>
      <c r="AH102" s="95"/>
      <c r="AI102" s="95"/>
      <c r="AJ102" s="95"/>
      <c r="AK102" s="95"/>
      <c r="AL102" s="95"/>
      <c r="AM102" s="95"/>
      <c r="AN102" s="95"/>
      <c r="AO102" s="95"/>
      <c r="AP102" s="95"/>
      <c r="AQ102" s="95"/>
      <c r="AR102" s="95"/>
      <c r="AS102" s="95"/>
    </row>
    <row r="103" ht="15.0" customHeight="1">
      <c r="AB103" s="95"/>
      <c r="AC103" s="95"/>
      <c r="AD103" s="95"/>
      <c r="AE103" s="95"/>
      <c r="AF103" s="95"/>
      <c r="AG103" s="95"/>
      <c r="AH103" s="95"/>
      <c r="AI103" s="95"/>
      <c r="AJ103" s="95"/>
      <c r="AK103" s="95"/>
      <c r="AL103" s="95"/>
      <c r="AM103" s="95"/>
      <c r="AN103" s="95"/>
      <c r="AO103" s="95"/>
      <c r="AP103" s="95"/>
      <c r="AQ103" s="95"/>
      <c r="AR103" s="95"/>
      <c r="AS103" s="95"/>
    </row>
    <row r="104" ht="15.0" customHeight="1">
      <c r="AB104" s="95"/>
      <c r="AC104" s="95"/>
      <c r="AD104" s="95"/>
      <c r="AE104" s="95"/>
      <c r="AF104" s="95"/>
      <c r="AG104" s="95"/>
      <c r="AH104" s="95"/>
      <c r="AI104" s="95"/>
      <c r="AJ104" s="95"/>
      <c r="AK104" s="95"/>
      <c r="AL104" s="95"/>
      <c r="AM104" s="95"/>
      <c r="AN104" s="95"/>
      <c r="AO104" s="95"/>
      <c r="AP104" s="95"/>
      <c r="AQ104" s="95"/>
      <c r="AR104" s="95"/>
      <c r="AS104" s="95"/>
    </row>
    <row r="105" ht="15.0" customHeight="1">
      <c r="AB105" s="95"/>
      <c r="AC105" s="95"/>
      <c r="AD105" s="95"/>
      <c r="AE105" s="95"/>
      <c r="AF105" s="95"/>
      <c r="AG105" s="95"/>
      <c r="AH105" s="95"/>
      <c r="AI105" s="95"/>
      <c r="AJ105" s="95"/>
      <c r="AK105" s="95"/>
      <c r="AL105" s="95"/>
      <c r="AM105" s="95"/>
      <c r="AN105" s="95"/>
      <c r="AO105" s="95"/>
      <c r="AP105" s="95"/>
      <c r="AQ105" s="95"/>
      <c r="AR105" s="95"/>
      <c r="AS105" s="95"/>
    </row>
    <row r="106" ht="15.0" customHeight="1">
      <c r="AB106" s="95"/>
      <c r="AC106" s="95"/>
      <c r="AD106" s="95"/>
      <c r="AE106" s="95"/>
      <c r="AF106" s="95"/>
      <c r="AG106" s="95"/>
      <c r="AH106" s="95"/>
      <c r="AI106" s="95"/>
      <c r="AJ106" s="95"/>
      <c r="AK106" s="95"/>
      <c r="AL106" s="95"/>
      <c r="AM106" s="95"/>
      <c r="AN106" s="95"/>
      <c r="AO106" s="95"/>
      <c r="AP106" s="95"/>
      <c r="AQ106" s="95"/>
      <c r="AR106" s="95"/>
      <c r="AS106" s="95"/>
    </row>
    <row r="107" ht="15.0" customHeight="1">
      <c r="AB107" s="95"/>
      <c r="AC107" s="95"/>
      <c r="AD107" s="95"/>
      <c r="AE107" s="95"/>
      <c r="AF107" s="95"/>
      <c r="AG107" s="95"/>
      <c r="AH107" s="95"/>
      <c r="AI107" s="95"/>
      <c r="AJ107" s="95"/>
      <c r="AK107" s="95"/>
      <c r="AL107" s="95"/>
      <c r="AM107" s="95"/>
      <c r="AN107" s="95"/>
      <c r="AO107" s="95"/>
      <c r="AP107" s="95"/>
      <c r="AQ107" s="95"/>
      <c r="AR107" s="95"/>
      <c r="AS107" s="95"/>
    </row>
    <row r="108" ht="15.0" customHeight="1">
      <c r="AB108" s="95"/>
      <c r="AC108" s="95"/>
      <c r="AD108" s="95"/>
      <c r="AE108" s="95"/>
      <c r="AF108" s="95"/>
      <c r="AG108" s="95"/>
      <c r="AH108" s="95"/>
      <c r="AI108" s="95"/>
      <c r="AJ108" s="95"/>
      <c r="AK108" s="95"/>
      <c r="AL108" s="95"/>
      <c r="AM108" s="95"/>
      <c r="AN108" s="95"/>
      <c r="AO108" s="95"/>
      <c r="AP108" s="95"/>
      <c r="AQ108" s="95"/>
      <c r="AR108" s="95"/>
      <c r="AS108" s="95"/>
    </row>
    <row r="109" ht="15.0" customHeight="1">
      <c r="AB109" s="95"/>
      <c r="AC109" s="95"/>
      <c r="AD109" s="95"/>
      <c r="AE109" s="95"/>
      <c r="AF109" s="95"/>
      <c r="AG109" s="95"/>
      <c r="AH109" s="95"/>
      <c r="AI109" s="95"/>
      <c r="AJ109" s="95"/>
      <c r="AK109" s="95"/>
      <c r="AL109" s="95"/>
      <c r="AM109" s="95"/>
      <c r="AN109" s="95"/>
      <c r="AO109" s="95"/>
      <c r="AP109" s="95"/>
      <c r="AQ109" s="95"/>
      <c r="AR109" s="95"/>
      <c r="AS109" s="95"/>
    </row>
    <row r="110" ht="15.0" customHeight="1">
      <c r="AB110" s="95"/>
      <c r="AC110" s="95"/>
      <c r="AD110" s="95"/>
      <c r="AE110" s="95"/>
      <c r="AF110" s="95"/>
      <c r="AG110" s="95"/>
      <c r="AH110" s="95"/>
      <c r="AI110" s="95"/>
      <c r="AJ110" s="95"/>
      <c r="AK110" s="95"/>
      <c r="AL110" s="95"/>
      <c r="AM110" s="95"/>
      <c r="AN110" s="95"/>
      <c r="AO110" s="95"/>
      <c r="AP110" s="95"/>
      <c r="AQ110" s="95"/>
      <c r="AR110" s="95"/>
      <c r="AS110" s="95"/>
    </row>
    <row r="111" ht="15.0" customHeight="1">
      <c r="AB111" s="95"/>
      <c r="AC111" s="95"/>
      <c r="AD111" s="95"/>
      <c r="AE111" s="95"/>
      <c r="AF111" s="95"/>
      <c r="AG111" s="95"/>
      <c r="AH111" s="95"/>
      <c r="AI111" s="95"/>
      <c r="AJ111" s="95"/>
      <c r="AK111" s="95"/>
      <c r="AL111" s="95"/>
      <c r="AM111" s="95"/>
      <c r="AN111" s="95"/>
      <c r="AO111" s="95"/>
      <c r="AP111" s="95"/>
      <c r="AQ111" s="95"/>
      <c r="AR111" s="95"/>
      <c r="AS111" s="95"/>
    </row>
    <row r="112" ht="15.0" customHeight="1">
      <c r="AB112" s="95"/>
      <c r="AC112" s="95"/>
      <c r="AD112" s="95"/>
      <c r="AE112" s="95"/>
      <c r="AF112" s="95"/>
      <c r="AG112" s="95"/>
      <c r="AH112" s="95"/>
      <c r="AI112" s="95"/>
      <c r="AJ112" s="95"/>
      <c r="AK112" s="95"/>
      <c r="AL112" s="95"/>
      <c r="AM112" s="95"/>
      <c r="AN112" s="95"/>
      <c r="AO112" s="95"/>
      <c r="AP112" s="95"/>
      <c r="AQ112" s="95"/>
      <c r="AR112" s="95"/>
      <c r="AS112" s="95"/>
    </row>
    <row r="113" ht="15.0" customHeight="1">
      <c r="AB113" s="95"/>
      <c r="AC113" s="95"/>
      <c r="AD113" s="95"/>
      <c r="AE113" s="95"/>
      <c r="AF113" s="95"/>
      <c r="AG113" s="95"/>
      <c r="AH113" s="95"/>
      <c r="AI113" s="95"/>
      <c r="AJ113" s="95"/>
      <c r="AK113" s="95"/>
      <c r="AL113" s="95"/>
      <c r="AM113" s="95"/>
      <c r="AN113" s="95"/>
      <c r="AO113" s="95"/>
      <c r="AP113" s="95"/>
      <c r="AQ113" s="95"/>
      <c r="AR113" s="95"/>
      <c r="AS113" s="95"/>
    </row>
    <row r="114" ht="15.0" customHeight="1">
      <c r="AB114" s="95"/>
      <c r="AC114" s="95"/>
      <c r="AD114" s="95"/>
      <c r="AE114" s="95"/>
      <c r="AF114" s="95"/>
      <c r="AG114" s="95"/>
      <c r="AH114" s="95"/>
      <c r="AI114" s="95"/>
      <c r="AJ114" s="95"/>
      <c r="AK114" s="95"/>
      <c r="AL114" s="95"/>
      <c r="AM114" s="95"/>
      <c r="AN114" s="95"/>
      <c r="AO114" s="95"/>
      <c r="AP114" s="95"/>
      <c r="AQ114" s="95"/>
      <c r="AR114" s="95"/>
      <c r="AS114" s="95"/>
    </row>
    <row r="115" ht="15.0" customHeight="1">
      <c r="AB115" s="95"/>
      <c r="AC115" s="95"/>
      <c r="AD115" s="95"/>
      <c r="AE115" s="95"/>
      <c r="AF115" s="95"/>
      <c r="AG115" s="95"/>
      <c r="AH115" s="95"/>
      <c r="AI115" s="95"/>
      <c r="AJ115" s="95"/>
      <c r="AK115" s="95"/>
      <c r="AL115" s="95"/>
      <c r="AM115" s="95"/>
      <c r="AN115" s="95"/>
      <c r="AO115" s="95"/>
      <c r="AP115" s="95"/>
      <c r="AQ115" s="95"/>
      <c r="AR115" s="95"/>
      <c r="AS115" s="95"/>
    </row>
    <row r="116" ht="15.0" customHeight="1">
      <c r="AB116" s="95"/>
      <c r="AC116" s="95"/>
      <c r="AD116" s="95"/>
      <c r="AE116" s="95"/>
      <c r="AF116" s="95"/>
      <c r="AG116" s="95"/>
      <c r="AH116" s="95"/>
      <c r="AI116" s="95"/>
      <c r="AJ116" s="95"/>
      <c r="AK116" s="95"/>
      <c r="AL116" s="95"/>
      <c r="AM116" s="95"/>
      <c r="AN116" s="95"/>
      <c r="AO116" s="95"/>
      <c r="AP116" s="95"/>
      <c r="AQ116" s="95"/>
      <c r="AR116" s="95"/>
      <c r="AS116" s="95"/>
    </row>
    <row r="117" ht="15.0" customHeight="1">
      <c r="AB117" s="95"/>
      <c r="AC117" s="95"/>
      <c r="AD117" s="95"/>
      <c r="AE117" s="95"/>
      <c r="AF117" s="95"/>
      <c r="AG117" s="95"/>
      <c r="AH117" s="95"/>
      <c r="AI117" s="95"/>
      <c r="AJ117" s="95"/>
      <c r="AK117" s="95"/>
      <c r="AL117" s="95"/>
      <c r="AM117" s="95"/>
      <c r="AN117" s="95"/>
      <c r="AO117" s="95"/>
      <c r="AP117" s="95"/>
      <c r="AQ117" s="95"/>
      <c r="AR117" s="95"/>
      <c r="AS117" s="95"/>
    </row>
    <row r="118" ht="15.0" customHeight="1">
      <c r="AB118" s="95"/>
      <c r="AC118" s="95"/>
      <c r="AD118" s="95"/>
      <c r="AE118" s="95"/>
      <c r="AF118" s="95"/>
      <c r="AG118" s="95"/>
      <c r="AH118" s="95"/>
      <c r="AI118" s="95"/>
      <c r="AJ118" s="95"/>
      <c r="AK118" s="95"/>
      <c r="AL118" s="95"/>
      <c r="AM118" s="95"/>
      <c r="AN118" s="95"/>
      <c r="AO118" s="95"/>
      <c r="AP118" s="95"/>
      <c r="AQ118" s="95"/>
      <c r="AR118" s="95"/>
      <c r="AS118" s="95"/>
    </row>
    <row r="119" ht="15.0" customHeight="1">
      <c r="AB119" s="95"/>
      <c r="AC119" s="95"/>
      <c r="AD119" s="95"/>
      <c r="AE119" s="95"/>
      <c r="AF119" s="95"/>
      <c r="AG119" s="95"/>
      <c r="AH119" s="95"/>
      <c r="AI119" s="95"/>
      <c r="AJ119" s="95"/>
      <c r="AK119" s="95"/>
      <c r="AL119" s="95"/>
      <c r="AM119" s="95"/>
      <c r="AN119" s="95"/>
      <c r="AO119" s="95"/>
      <c r="AP119" s="95"/>
      <c r="AQ119" s="95"/>
      <c r="AR119" s="95"/>
      <c r="AS119" s="95"/>
    </row>
    <row r="120" ht="15.0" customHeight="1">
      <c r="AB120" s="95"/>
      <c r="AC120" s="95"/>
      <c r="AD120" s="95"/>
      <c r="AE120" s="95"/>
      <c r="AF120" s="95"/>
      <c r="AG120" s="95"/>
      <c r="AH120" s="95"/>
      <c r="AI120" s="95"/>
      <c r="AJ120" s="95"/>
      <c r="AK120" s="95"/>
      <c r="AL120" s="95"/>
      <c r="AM120" s="95"/>
      <c r="AN120" s="95"/>
      <c r="AO120" s="95"/>
      <c r="AP120" s="95"/>
      <c r="AQ120" s="95"/>
      <c r="AR120" s="95"/>
      <c r="AS120" s="95"/>
    </row>
    <row r="121" ht="15.0" customHeight="1">
      <c r="AB121" s="95"/>
      <c r="AC121" s="95"/>
      <c r="AD121" s="95"/>
      <c r="AE121" s="95"/>
      <c r="AF121" s="95"/>
      <c r="AG121" s="95"/>
      <c r="AH121" s="95"/>
      <c r="AI121" s="95"/>
      <c r="AJ121" s="95"/>
      <c r="AK121" s="95"/>
      <c r="AL121" s="95"/>
      <c r="AM121" s="95"/>
      <c r="AN121" s="95"/>
      <c r="AO121" s="95"/>
      <c r="AP121" s="95"/>
      <c r="AQ121" s="95"/>
      <c r="AR121" s="95"/>
      <c r="AS121" s="95"/>
    </row>
    <row r="122" ht="15.0" customHeight="1">
      <c r="AB122" s="95"/>
      <c r="AC122" s="95"/>
      <c r="AD122" s="95"/>
      <c r="AE122" s="95"/>
      <c r="AF122" s="95"/>
      <c r="AG122" s="95"/>
      <c r="AH122" s="95"/>
      <c r="AI122" s="95"/>
      <c r="AJ122" s="95"/>
      <c r="AK122" s="95"/>
      <c r="AL122" s="95"/>
      <c r="AM122" s="95"/>
      <c r="AN122" s="95"/>
      <c r="AO122" s="95"/>
      <c r="AP122" s="95"/>
      <c r="AQ122" s="95"/>
      <c r="AR122" s="95"/>
      <c r="AS122" s="95"/>
    </row>
    <row r="123" ht="15.0" customHeight="1">
      <c r="AB123" s="95"/>
      <c r="AC123" s="95"/>
      <c r="AD123" s="95"/>
      <c r="AE123" s="95"/>
      <c r="AF123" s="95"/>
      <c r="AG123" s="95"/>
      <c r="AH123" s="95"/>
      <c r="AI123" s="95"/>
      <c r="AJ123" s="95"/>
      <c r="AK123" s="95"/>
      <c r="AL123" s="95"/>
      <c r="AM123" s="95"/>
      <c r="AN123" s="95"/>
      <c r="AO123" s="95"/>
      <c r="AP123" s="95"/>
      <c r="AQ123" s="95"/>
      <c r="AR123" s="95"/>
      <c r="AS123" s="95"/>
    </row>
    <row r="124" ht="15.0" customHeight="1">
      <c r="AB124" s="95"/>
      <c r="AC124" s="95"/>
      <c r="AD124" s="95"/>
      <c r="AE124" s="95"/>
      <c r="AF124" s="95"/>
      <c r="AG124" s="95"/>
      <c r="AH124" s="95"/>
      <c r="AI124" s="95"/>
      <c r="AJ124" s="95"/>
      <c r="AK124" s="95"/>
      <c r="AL124" s="95"/>
      <c r="AM124" s="95"/>
      <c r="AN124" s="95"/>
      <c r="AO124" s="95"/>
      <c r="AP124" s="95"/>
      <c r="AQ124" s="95"/>
      <c r="AR124" s="95"/>
      <c r="AS124" s="95"/>
    </row>
    <row r="125" ht="15.0" customHeight="1">
      <c r="AB125" s="95"/>
      <c r="AC125" s="95"/>
      <c r="AD125" s="95"/>
      <c r="AE125" s="95"/>
      <c r="AF125" s="95"/>
      <c r="AG125" s="95"/>
      <c r="AH125" s="95"/>
      <c r="AI125" s="95"/>
      <c r="AJ125" s="95"/>
      <c r="AK125" s="95"/>
      <c r="AL125" s="95"/>
      <c r="AM125" s="95"/>
      <c r="AN125" s="95"/>
      <c r="AO125" s="95"/>
      <c r="AP125" s="95"/>
      <c r="AQ125" s="95"/>
      <c r="AR125" s="95"/>
      <c r="AS125" s="95"/>
    </row>
    <row r="126" ht="15.0" customHeight="1">
      <c r="AB126" s="95"/>
      <c r="AC126" s="95"/>
      <c r="AD126" s="95"/>
      <c r="AE126" s="95"/>
      <c r="AF126" s="95"/>
      <c r="AG126" s="95"/>
      <c r="AH126" s="95"/>
      <c r="AI126" s="95"/>
      <c r="AJ126" s="95"/>
      <c r="AK126" s="95"/>
      <c r="AL126" s="95"/>
      <c r="AM126" s="95"/>
      <c r="AN126" s="95"/>
      <c r="AO126" s="95"/>
      <c r="AP126" s="95"/>
      <c r="AQ126" s="95"/>
      <c r="AR126" s="95"/>
      <c r="AS126" s="95"/>
    </row>
    <row r="127" ht="15.0" customHeight="1">
      <c r="AB127" s="95"/>
      <c r="AC127" s="95"/>
      <c r="AD127" s="95"/>
      <c r="AE127" s="95"/>
      <c r="AF127" s="95"/>
      <c r="AG127" s="95"/>
      <c r="AH127" s="95"/>
      <c r="AI127" s="95"/>
      <c r="AJ127" s="95"/>
      <c r="AK127" s="95"/>
      <c r="AL127" s="95"/>
      <c r="AM127" s="95"/>
      <c r="AN127" s="95"/>
      <c r="AO127" s="95"/>
      <c r="AP127" s="95"/>
      <c r="AQ127" s="95"/>
      <c r="AR127" s="95"/>
      <c r="AS127" s="95"/>
    </row>
    <row r="128" ht="15.0" customHeight="1">
      <c r="AB128" s="95"/>
      <c r="AC128" s="95"/>
      <c r="AD128" s="95"/>
      <c r="AE128" s="95"/>
      <c r="AF128" s="95"/>
      <c r="AG128" s="95"/>
      <c r="AH128" s="95"/>
      <c r="AI128" s="95"/>
      <c r="AJ128" s="95"/>
      <c r="AK128" s="95"/>
      <c r="AL128" s="95"/>
      <c r="AM128" s="95"/>
      <c r="AN128" s="95"/>
      <c r="AO128" s="95"/>
      <c r="AP128" s="95"/>
      <c r="AQ128" s="95"/>
      <c r="AR128" s="95"/>
      <c r="AS128" s="95"/>
    </row>
    <row r="129" ht="15.0" customHeight="1">
      <c r="AB129" s="95"/>
      <c r="AC129" s="95"/>
      <c r="AD129" s="95"/>
      <c r="AE129" s="95"/>
      <c r="AF129" s="95"/>
      <c r="AG129" s="95"/>
      <c r="AH129" s="95"/>
      <c r="AI129" s="95"/>
      <c r="AJ129" s="95"/>
      <c r="AK129" s="95"/>
      <c r="AL129" s="95"/>
      <c r="AM129" s="95"/>
      <c r="AN129" s="95"/>
      <c r="AO129" s="95"/>
      <c r="AP129" s="95"/>
      <c r="AQ129" s="95"/>
      <c r="AR129" s="95"/>
      <c r="AS129" s="95"/>
    </row>
    <row r="130" ht="15.0" customHeight="1">
      <c r="AB130" s="95"/>
      <c r="AC130" s="95"/>
      <c r="AD130" s="95"/>
      <c r="AE130" s="95"/>
      <c r="AF130" s="95"/>
      <c r="AG130" s="95"/>
      <c r="AH130" s="95"/>
      <c r="AI130" s="95"/>
      <c r="AJ130" s="95"/>
      <c r="AK130" s="95"/>
      <c r="AL130" s="95"/>
      <c r="AM130" s="95"/>
      <c r="AN130" s="95"/>
      <c r="AO130" s="95"/>
      <c r="AP130" s="95"/>
      <c r="AQ130" s="95"/>
      <c r="AR130" s="95"/>
      <c r="AS130" s="95"/>
    </row>
    <row r="131" ht="15.0" customHeight="1">
      <c r="AB131" s="95"/>
      <c r="AC131" s="95"/>
      <c r="AD131" s="95"/>
      <c r="AE131" s="95"/>
      <c r="AF131" s="95"/>
      <c r="AG131" s="95"/>
      <c r="AH131" s="95"/>
      <c r="AI131" s="95"/>
      <c r="AJ131" s="95"/>
      <c r="AK131" s="95"/>
      <c r="AL131" s="95"/>
      <c r="AM131" s="95"/>
      <c r="AN131" s="95"/>
      <c r="AO131" s="95"/>
      <c r="AP131" s="95"/>
      <c r="AQ131" s="95"/>
      <c r="AR131" s="95"/>
      <c r="AS131" s="95"/>
    </row>
    <row r="132" ht="15.0" customHeight="1">
      <c r="AB132" s="95"/>
      <c r="AC132" s="95"/>
      <c r="AD132" s="95"/>
      <c r="AE132" s="95"/>
      <c r="AF132" s="95"/>
      <c r="AG132" s="95"/>
      <c r="AH132" s="95"/>
      <c r="AI132" s="95"/>
      <c r="AJ132" s="95"/>
      <c r="AK132" s="95"/>
      <c r="AL132" s="95"/>
      <c r="AM132" s="95"/>
      <c r="AN132" s="95"/>
      <c r="AO132" s="95"/>
      <c r="AP132" s="95"/>
      <c r="AQ132" s="95"/>
      <c r="AR132" s="95"/>
      <c r="AS132" s="95"/>
    </row>
    <row r="133" ht="15.0" customHeight="1">
      <c r="AB133" s="95"/>
      <c r="AC133" s="95"/>
      <c r="AD133" s="95"/>
      <c r="AE133" s="95"/>
      <c r="AF133" s="95"/>
      <c r="AG133" s="95"/>
      <c r="AH133" s="95"/>
      <c r="AI133" s="95"/>
      <c r="AJ133" s="95"/>
      <c r="AK133" s="95"/>
      <c r="AL133" s="95"/>
      <c r="AM133" s="95"/>
      <c r="AN133" s="95"/>
      <c r="AO133" s="95"/>
      <c r="AP133" s="95"/>
      <c r="AQ133" s="95"/>
      <c r="AR133" s="95"/>
      <c r="AS133" s="95"/>
    </row>
    <row r="134" ht="15.0" customHeight="1">
      <c r="AB134" s="95"/>
      <c r="AC134" s="95"/>
      <c r="AD134" s="95"/>
      <c r="AE134" s="95"/>
      <c r="AF134" s="95"/>
      <c r="AG134" s="95"/>
      <c r="AH134" s="95"/>
      <c r="AI134" s="95"/>
      <c r="AJ134" s="95"/>
      <c r="AK134" s="95"/>
      <c r="AL134" s="95"/>
      <c r="AM134" s="95"/>
      <c r="AN134" s="95"/>
      <c r="AO134" s="95"/>
      <c r="AP134" s="95"/>
      <c r="AQ134" s="95"/>
      <c r="AR134" s="95"/>
      <c r="AS134" s="95"/>
    </row>
    <row r="135" ht="15.0" customHeight="1">
      <c r="AB135" s="95"/>
      <c r="AC135" s="95"/>
      <c r="AD135" s="95"/>
      <c r="AE135" s="95"/>
      <c r="AF135" s="95"/>
      <c r="AG135" s="95"/>
      <c r="AH135" s="95"/>
      <c r="AI135" s="95"/>
      <c r="AJ135" s="95"/>
      <c r="AK135" s="95"/>
      <c r="AL135" s="95"/>
      <c r="AM135" s="95"/>
      <c r="AN135" s="95"/>
      <c r="AO135" s="95"/>
      <c r="AP135" s="95"/>
      <c r="AQ135" s="95"/>
      <c r="AR135" s="95"/>
      <c r="AS135" s="95"/>
    </row>
    <row r="136" ht="15.0" customHeight="1">
      <c r="AB136" s="95"/>
      <c r="AC136" s="95"/>
      <c r="AD136" s="95"/>
      <c r="AE136" s="95"/>
      <c r="AF136" s="95"/>
      <c r="AG136" s="95"/>
      <c r="AH136" s="95"/>
      <c r="AI136" s="95"/>
      <c r="AJ136" s="95"/>
      <c r="AK136" s="95"/>
      <c r="AL136" s="95"/>
      <c r="AM136" s="95"/>
      <c r="AN136" s="95"/>
      <c r="AO136" s="95"/>
      <c r="AP136" s="95"/>
      <c r="AQ136" s="95"/>
      <c r="AR136" s="95"/>
      <c r="AS136" s="95"/>
    </row>
    <row r="137" ht="15.0" customHeight="1">
      <c r="AB137" s="95"/>
      <c r="AC137" s="95"/>
      <c r="AD137" s="95"/>
      <c r="AE137" s="95"/>
      <c r="AF137" s="95"/>
      <c r="AG137" s="95"/>
      <c r="AH137" s="95"/>
      <c r="AI137" s="95"/>
      <c r="AJ137" s="95"/>
      <c r="AK137" s="95"/>
      <c r="AL137" s="95"/>
      <c r="AM137" s="95"/>
      <c r="AN137" s="95"/>
      <c r="AO137" s="95"/>
      <c r="AP137" s="95"/>
      <c r="AQ137" s="95"/>
      <c r="AR137" s="95"/>
      <c r="AS137" s="95"/>
    </row>
    <row r="138" ht="15.0" customHeight="1">
      <c r="AB138" s="95"/>
      <c r="AC138" s="95"/>
      <c r="AD138" s="95"/>
      <c r="AE138" s="95"/>
      <c r="AF138" s="95"/>
      <c r="AG138" s="95"/>
      <c r="AH138" s="95"/>
      <c r="AI138" s="95"/>
      <c r="AJ138" s="95"/>
      <c r="AK138" s="95"/>
      <c r="AL138" s="95"/>
      <c r="AM138" s="95"/>
      <c r="AN138" s="95"/>
      <c r="AO138" s="95"/>
      <c r="AP138" s="95"/>
      <c r="AQ138" s="95"/>
      <c r="AR138" s="95"/>
      <c r="AS138" s="95"/>
    </row>
    <row r="139" ht="15.0" customHeight="1">
      <c r="AB139" s="95"/>
      <c r="AC139" s="95"/>
      <c r="AD139" s="95"/>
      <c r="AE139" s="95"/>
      <c r="AF139" s="95"/>
      <c r="AG139" s="95"/>
      <c r="AH139" s="95"/>
      <c r="AI139" s="95"/>
      <c r="AJ139" s="95"/>
      <c r="AK139" s="95"/>
      <c r="AL139" s="95"/>
      <c r="AM139" s="95"/>
      <c r="AN139" s="95"/>
      <c r="AO139" s="95"/>
      <c r="AP139" s="95"/>
      <c r="AQ139" s="95"/>
      <c r="AR139" s="95"/>
      <c r="AS139" s="95"/>
    </row>
    <row r="140" ht="15.0" customHeight="1">
      <c r="AB140" s="95"/>
      <c r="AC140" s="95"/>
      <c r="AD140" s="95"/>
      <c r="AE140" s="95"/>
      <c r="AF140" s="95"/>
      <c r="AG140" s="95"/>
      <c r="AH140" s="95"/>
      <c r="AI140" s="95"/>
      <c r="AJ140" s="95"/>
      <c r="AK140" s="95"/>
      <c r="AL140" s="95"/>
      <c r="AM140" s="95"/>
      <c r="AN140" s="95"/>
      <c r="AO140" s="95"/>
      <c r="AP140" s="95"/>
      <c r="AQ140" s="95"/>
      <c r="AR140" s="95"/>
      <c r="AS140" s="95"/>
    </row>
    <row r="141" ht="15.0" customHeight="1">
      <c r="AB141" s="95"/>
      <c r="AC141" s="95"/>
      <c r="AD141" s="95"/>
      <c r="AE141" s="95"/>
      <c r="AF141" s="95"/>
      <c r="AG141" s="95"/>
      <c r="AH141" s="95"/>
      <c r="AI141" s="95"/>
      <c r="AJ141" s="95"/>
      <c r="AK141" s="95"/>
      <c r="AL141" s="95"/>
      <c r="AM141" s="95"/>
      <c r="AN141" s="95"/>
      <c r="AO141" s="95"/>
      <c r="AP141" s="95"/>
      <c r="AQ141" s="95"/>
      <c r="AR141" s="95"/>
      <c r="AS141" s="95"/>
    </row>
    <row r="142" ht="15.0" customHeight="1">
      <c r="AB142" s="95"/>
      <c r="AC142" s="95"/>
      <c r="AD142" s="95"/>
      <c r="AE142" s="95"/>
      <c r="AF142" s="95"/>
      <c r="AG142" s="95"/>
      <c r="AH142" s="95"/>
      <c r="AI142" s="95"/>
      <c r="AJ142" s="95"/>
      <c r="AK142" s="95"/>
      <c r="AL142" s="95"/>
      <c r="AM142" s="95"/>
      <c r="AN142" s="95"/>
      <c r="AO142" s="95"/>
      <c r="AP142" s="95"/>
      <c r="AQ142" s="95"/>
      <c r="AR142" s="95"/>
      <c r="AS142" s="95"/>
    </row>
    <row r="143" ht="15.0" customHeight="1">
      <c r="AB143" s="95"/>
      <c r="AC143" s="95"/>
      <c r="AD143" s="95"/>
      <c r="AE143" s="95"/>
      <c r="AF143" s="95"/>
      <c r="AG143" s="95"/>
      <c r="AH143" s="95"/>
      <c r="AI143" s="95"/>
      <c r="AJ143" s="95"/>
      <c r="AK143" s="95"/>
      <c r="AL143" s="95"/>
      <c r="AM143" s="95"/>
      <c r="AN143" s="95"/>
      <c r="AO143" s="95"/>
      <c r="AP143" s="95"/>
      <c r="AQ143" s="95"/>
      <c r="AR143" s="95"/>
      <c r="AS143" s="95"/>
    </row>
    <row r="144" ht="15.0" customHeight="1">
      <c r="AB144" s="95"/>
      <c r="AC144" s="95"/>
      <c r="AD144" s="95"/>
      <c r="AE144" s="95"/>
      <c r="AF144" s="95"/>
      <c r="AG144" s="95"/>
      <c r="AH144" s="95"/>
      <c r="AI144" s="95"/>
      <c r="AJ144" s="95"/>
      <c r="AK144" s="95"/>
      <c r="AL144" s="95"/>
      <c r="AM144" s="95"/>
      <c r="AN144" s="95"/>
      <c r="AO144" s="95"/>
      <c r="AP144" s="95"/>
      <c r="AQ144" s="95"/>
      <c r="AR144" s="95"/>
      <c r="AS144" s="95"/>
    </row>
    <row r="145" ht="15.0" customHeight="1">
      <c r="AB145" s="95"/>
      <c r="AC145" s="95"/>
      <c r="AD145" s="95"/>
      <c r="AE145" s="95"/>
      <c r="AF145" s="95"/>
      <c r="AG145" s="95"/>
      <c r="AH145" s="95"/>
      <c r="AI145" s="95"/>
      <c r="AJ145" s="95"/>
      <c r="AK145" s="95"/>
      <c r="AL145" s="95"/>
      <c r="AM145" s="95"/>
      <c r="AN145" s="95"/>
      <c r="AO145" s="95"/>
      <c r="AP145" s="95"/>
      <c r="AQ145" s="95"/>
      <c r="AR145" s="95"/>
      <c r="AS145" s="95"/>
    </row>
    <row r="146" ht="15.0" customHeight="1">
      <c r="AB146" s="95"/>
      <c r="AC146" s="95"/>
      <c r="AD146" s="95"/>
      <c r="AE146" s="95"/>
      <c r="AF146" s="95"/>
      <c r="AG146" s="95"/>
      <c r="AH146" s="95"/>
      <c r="AI146" s="95"/>
      <c r="AJ146" s="95"/>
      <c r="AK146" s="95"/>
      <c r="AL146" s="95"/>
      <c r="AM146" s="95"/>
      <c r="AN146" s="95"/>
      <c r="AO146" s="95"/>
      <c r="AP146" s="95"/>
      <c r="AQ146" s="95"/>
      <c r="AR146" s="95"/>
      <c r="AS146" s="95"/>
    </row>
    <row r="147" ht="15.0" customHeight="1">
      <c r="AB147" s="95"/>
      <c r="AC147" s="95"/>
      <c r="AD147" s="95"/>
      <c r="AE147" s="95"/>
      <c r="AF147" s="95"/>
      <c r="AG147" s="95"/>
      <c r="AH147" s="95"/>
      <c r="AI147" s="95"/>
      <c r="AJ147" s="95"/>
      <c r="AK147" s="95"/>
      <c r="AL147" s="95"/>
      <c r="AM147" s="95"/>
      <c r="AN147" s="95"/>
      <c r="AO147" s="95"/>
      <c r="AP147" s="95"/>
      <c r="AQ147" s="95"/>
      <c r="AR147" s="95"/>
      <c r="AS147" s="95"/>
    </row>
    <row r="148" ht="15.0" customHeight="1">
      <c r="AB148" s="95"/>
      <c r="AC148" s="95"/>
      <c r="AD148" s="95"/>
      <c r="AE148" s="95"/>
      <c r="AF148" s="95"/>
      <c r="AG148" s="95"/>
      <c r="AH148" s="95"/>
      <c r="AI148" s="95"/>
      <c r="AJ148" s="95"/>
      <c r="AK148" s="95"/>
      <c r="AL148" s="95"/>
      <c r="AM148" s="95"/>
      <c r="AN148" s="95"/>
      <c r="AO148" s="95"/>
      <c r="AP148" s="95"/>
      <c r="AQ148" s="95"/>
      <c r="AR148" s="95"/>
      <c r="AS148" s="95"/>
    </row>
    <row r="149" ht="15.0" customHeight="1">
      <c r="AB149" s="95"/>
      <c r="AC149" s="95"/>
      <c r="AD149" s="95"/>
      <c r="AE149" s="95"/>
      <c r="AF149" s="95"/>
      <c r="AG149" s="95"/>
      <c r="AH149" s="95"/>
      <c r="AI149" s="95"/>
      <c r="AJ149" s="95"/>
      <c r="AK149" s="95"/>
      <c r="AL149" s="95"/>
      <c r="AM149" s="95"/>
      <c r="AN149" s="95"/>
      <c r="AO149" s="95"/>
      <c r="AP149" s="95"/>
      <c r="AQ149" s="95"/>
      <c r="AR149" s="95"/>
      <c r="AS149" s="95"/>
    </row>
    <row r="150" ht="15.0" customHeight="1">
      <c r="AB150" s="95"/>
      <c r="AC150" s="95"/>
      <c r="AD150" s="95"/>
      <c r="AE150" s="95"/>
      <c r="AF150" s="95"/>
      <c r="AG150" s="95"/>
      <c r="AH150" s="95"/>
      <c r="AI150" s="95"/>
      <c r="AJ150" s="95"/>
      <c r="AK150" s="95"/>
      <c r="AL150" s="95"/>
      <c r="AM150" s="95"/>
      <c r="AN150" s="95"/>
      <c r="AO150" s="95"/>
      <c r="AP150" s="95"/>
      <c r="AQ150" s="95"/>
      <c r="AR150" s="95"/>
      <c r="AS150" s="95"/>
    </row>
    <row r="151" ht="15.0" customHeight="1">
      <c r="AB151" s="95"/>
      <c r="AC151" s="95"/>
      <c r="AD151" s="95"/>
      <c r="AE151" s="95"/>
      <c r="AF151" s="95"/>
      <c r="AG151" s="95"/>
      <c r="AH151" s="95"/>
      <c r="AI151" s="95"/>
      <c r="AJ151" s="95"/>
      <c r="AK151" s="95"/>
      <c r="AL151" s="95"/>
      <c r="AM151" s="95"/>
      <c r="AN151" s="95"/>
      <c r="AO151" s="95"/>
      <c r="AP151" s="95"/>
      <c r="AQ151" s="95"/>
      <c r="AR151" s="95"/>
      <c r="AS151" s="95"/>
    </row>
    <row r="152" ht="15.0" customHeight="1">
      <c r="AB152" s="95"/>
      <c r="AC152" s="95"/>
      <c r="AD152" s="95"/>
      <c r="AE152" s="95"/>
      <c r="AF152" s="95"/>
      <c r="AG152" s="95"/>
      <c r="AH152" s="95"/>
      <c r="AI152" s="95"/>
      <c r="AJ152" s="95"/>
      <c r="AK152" s="95"/>
      <c r="AL152" s="95"/>
      <c r="AM152" s="95"/>
      <c r="AN152" s="95"/>
      <c r="AO152" s="95"/>
      <c r="AP152" s="95"/>
      <c r="AQ152" s="95"/>
      <c r="AR152" s="95"/>
      <c r="AS152" s="95"/>
    </row>
    <row r="153" ht="15.0" customHeight="1">
      <c r="AB153" s="95"/>
      <c r="AC153" s="95"/>
      <c r="AD153" s="95"/>
      <c r="AE153" s="95"/>
      <c r="AF153" s="95"/>
      <c r="AG153" s="95"/>
      <c r="AH153" s="95"/>
      <c r="AI153" s="95"/>
      <c r="AJ153" s="95"/>
      <c r="AK153" s="95"/>
      <c r="AL153" s="95"/>
      <c r="AM153" s="95"/>
      <c r="AN153" s="95"/>
      <c r="AO153" s="95"/>
      <c r="AP153" s="95"/>
      <c r="AQ153" s="95"/>
      <c r="AR153" s="95"/>
      <c r="AS153" s="95"/>
    </row>
    <row r="154" ht="15.0" customHeight="1">
      <c r="AB154" s="95"/>
      <c r="AC154" s="95"/>
      <c r="AD154" s="95"/>
      <c r="AE154" s="95"/>
      <c r="AF154" s="95"/>
      <c r="AG154" s="95"/>
      <c r="AH154" s="95"/>
      <c r="AI154" s="95"/>
      <c r="AJ154" s="95"/>
      <c r="AK154" s="95"/>
      <c r="AL154" s="95"/>
      <c r="AM154" s="95"/>
      <c r="AN154" s="95"/>
      <c r="AO154" s="95"/>
      <c r="AP154" s="95"/>
      <c r="AQ154" s="95"/>
      <c r="AR154" s="95"/>
      <c r="AS154" s="95"/>
    </row>
    <row r="155" ht="15.0" customHeight="1">
      <c r="AB155" s="95"/>
      <c r="AC155" s="95"/>
      <c r="AD155" s="95"/>
      <c r="AE155" s="95"/>
      <c r="AF155" s="95"/>
      <c r="AG155" s="95"/>
      <c r="AH155" s="95"/>
      <c r="AI155" s="95"/>
      <c r="AJ155" s="95"/>
      <c r="AK155" s="95"/>
      <c r="AL155" s="95"/>
      <c r="AM155" s="95"/>
      <c r="AN155" s="95"/>
      <c r="AO155" s="95"/>
      <c r="AP155" s="95"/>
      <c r="AQ155" s="95"/>
      <c r="AR155" s="95"/>
      <c r="AS155" s="95"/>
    </row>
    <row r="156" ht="15.0" customHeight="1">
      <c r="AB156" s="95"/>
      <c r="AC156" s="95"/>
      <c r="AD156" s="95"/>
      <c r="AE156" s="95"/>
      <c r="AF156" s="95"/>
      <c r="AG156" s="95"/>
      <c r="AH156" s="95"/>
      <c r="AI156" s="95"/>
      <c r="AJ156" s="95"/>
      <c r="AK156" s="95"/>
      <c r="AL156" s="95"/>
      <c r="AM156" s="95"/>
      <c r="AN156" s="95"/>
      <c r="AO156" s="95"/>
      <c r="AP156" s="95"/>
      <c r="AQ156" s="95"/>
      <c r="AR156" s="95"/>
      <c r="AS156" s="95"/>
    </row>
    <row r="157" ht="15.0" customHeight="1">
      <c r="AB157" s="95"/>
      <c r="AC157" s="95"/>
      <c r="AD157" s="95"/>
      <c r="AE157" s="95"/>
      <c r="AF157" s="95"/>
      <c r="AG157" s="95"/>
      <c r="AH157" s="95"/>
      <c r="AI157" s="95"/>
      <c r="AJ157" s="95"/>
      <c r="AK157" s="95"/>
      <c r="AL157" s="95"/>
      <c r="AM157" s="95"/>
      <c r="AN157" s="95"/>
      <c r="AO157" s="95"/>
      <c r="AP157" s="95"/>
      <c r="AQ157" s="95"/>
      <c r="AR157" s="95"/>
      <c r="AS157" s="95"/>
    </row>
    <row r="158" ht="15.0" customHeight="1">
      <c r="AB158" s="95"/>
      <c r="AC158" s="95"/>
      <c r="AD158" s="95"/>
      <c r="AE158" s="95"/>
      <c r="AF158" s="95"/>
      <c r="AG158" s="95"/>
      <c r="AH158" s="95"/>
      <c r="AI158" s="95"/>
      <c r="AJ158" s="95"/>
      <c r="AK158" s="95"/>
      <c r="AL158" s="95"/>
      <c r="AM158" s="95"/>
      <c r="AN158" s="95"/>
      <c r="AO158" s="95"/>
      <c r="AP158" s="95"/>
      <c r="AQ158" s="95"/>
      <c r="AR158" s="95"/>
      <c r="AS158" s="95"/>
    </row>
    <row r="159" ht="15.0" customHeight="1">
      <c r="AB159" s="95"/>
      <c r="AC159" s="95"/>
      <c r="AD159" s="95"/>
      <c r="AE159" s="95"/>
      <c r="AF159" s="95"/>
      <c r="AG159" s="95"/>
      <c r="AH159" s="95"/>
      <c r="AI159" s="95"/>
      <c r="AJ159" s="95"/>
      <c r="AK159" s="95"/>
      <c r="AL159" s="95"/>
      <c r="AM159" s="95"/>
      <c r="AN159" s="95"/>
      <c r="AO159" s="95"/>
      <c r="AP159" s="95"/>
      <c r="AQ159" s="95"/>
      <c r="AR159" s="95"/>
      <c r="AS159" s="95"/>
    </row>
    <row r="160" ht="15.0" customHeight="1">
      <c r="AB160" s="95"/>
      <c r="AC160" s="95"/>
      <c r="AD160" s="95"/>
      <c r="AE160" s="95"/>
      <c r="AF160" s="95"/>
      <c r="AG160" s="95"/>
      <c r="AH160" s="95"/>
      <c r="AI160" s="95"/>
      <c r="AJ160" s="95"/>
      <c r="AK160" s="95"/>
      <c r="AL160" s="95"/>
      <c r="AM160" s="95"/>
      <c r="AN160" s="95"/>
      <c r="AO160" s="95"/>
      <c r="AP160" s="95"/>
      <c r="AQ160" s="95"/>
      <c r="AR160" s="95"/>
      <c r="AS160" s="95"/>
    </row>
    <row r="161" ht="15.0" customHeight="1">
      <c r="AB161" s="95"/>
      <c r="AC161" s="95"/>
      <c r="AD161" s="95"/>
      <c r="AE161" s="95"/>
      <c r="AF161" s="95"/>
      <c r="AG161" s="95"/>
      <c r="AH161" s="95"/>
      <c r="AI161" s="95"/>
      <c r="AJ161" s="95"/>
      <c r="AK161" s="95"/>
      <c r="AL161" s="95"/>
      <c r="AM161" s="95"/>
      <c r="AN161" s="95"/>
      <c r="AO161" s="95"/>
      <c r="AP161" s="95"/>
      <c r="AQ161" s="95"/>
      <c r="AR161" s="95"/>
      <c r="AS161" s="95"/>
    </row>
    <row r="162" ht="15.0" customHeight="1">
      <c r="AB162" s="95"/>
      <c r="AC162" s="95"/>
      <c r="AD162" s="95"/>
      <c r="AE162" s="95"/>
      <c r="AF162" s="95"/>
      <c r="AG162" s="95"/>
      <c r="AH162" s="95"/>
      <c r="AI162" s="95"/>
      <c r="AJ162" s="95"/>
      <c r="AK162" s="95"/>
      <c r="AL162" s="95"/>
      <c r="AM162" s="95"/>
      <c r="AN162" s="95"/>
      <c r="AO162" s="95"/>
      <c r="AP162" s="95"/>
      <c r="AQ162" s="95"/>
      <c r="AR162" s="95"/>
      <c r="AS162" s="95"/>
    </row>
    <row r="163" ht="15.0" customHeight="1">
      <c r="AB163" s="95"/>
      <c r="AC163" s="95"/>
      <c r="AD163" s="95"/>
      <c r="AE163" s="95"/>
      <c r="AF163" s="95"/>
      <c r="AG163" s="95"/>
      <c r="AH163" s="95"/>
      <c r="AI163" s="95"/>
      <c r="AJ163" s="95"/>
      <c r="AK163" s="95"/>
      <c r="AL163" s="95"/>
      <c r="AM163" s="95"/>
      <c r="AN163" s="95"/>
      <c r="AO163" s="95"/>
      <c r="AP163" s="95"/>
      <c r="AQ163" s="95"/>
      <c r="AR163" s="95"/>
      <c r="AS163" s="95"/>
    </row>
    <row r="164" ht="15.0" customHeight="1">
      <c r="AB164" s="95"/>
      <c r="AC164" s="95"/>
      <c r="AD164" s="95"/>
      <c r="AE164" s="95"/>
      <c r="AF164" s="95"/>
      <c r="AG164" s="95"/>
      <c r="AH164" s="95"/>
      <c r="AI164" s="95"/>
      <c r="AJ164" s="95"/>
      <c r="AK164" s="95"/>
      <c r="AL164" s="95"/>
      <c r="AM164" s="95"/>
      <c r="AN164" s="95"/>
      <c r="AO164" s="95"/>
      <c r="AP164" s="95"/>
      <c r="AQ164" s="95"/>
      <c r="AR164" s="95"/>
      <c r="AS164" s="95"/>
    </row>
    <row r="165" ht="15.0" customHeight="1">
      <c r="AB165" s="95"/>
      <c r="AC165" s="95"/>
      <c r="AD165" s="95"/>
      <c r="AE165" s="95"/>
      <c r="AF165" s="95"/>
      <c r="AG165" s="95"/>
      <c r="AH165" s="95"/>
      <c r="AI165" s="95"/>
      <c r="AJ165" s="95"/>
      <c r="AK165" s="95"/>
      <c r="AL165" s="95"/>
      <c r="AM165" s="95"/>
      <c r="AN165" s="95"/>
      <c r="AO165" s="95"/>
      <c r="AP165" s="95"/>
      <c r="AQ165" s="95"/>
      <c r="AR165" s="95"/>
      <c r="AS165" s="95"/>
    </row>
    <row r="166" ht="15.0" customHeight="1">
      <c r="AB166" s="95"/>
      <c r="AC166" s="95"/>
      <c r="AD166" s="95"/>
      <c r="AE166" s="95"/>
      <c r="AF166" s="95"/>
      <c r="AG166" s="95"/>
      <c r="AH166" s="95"/>
      <c r="AI166" s="95"/>
      <c r="AJ166" s="95"/>
      <c r="AK166" s="95"/>
      <c r="AL166" s="95"/>
      <c r="AM166" s="95"/>
      <c r="AN166" s="95"/>
      <c r="AO166" s="95"/>
      <c r="AP166" s="95"/>
      <c r="AQ166" s="95"/>
      <c r="AR166" s="95"/>
      <c r="AS166" s="95"/>
    </row>
    <row r="167" ht="15.0" customHeight="1">
      <c r="AB167" s="95"/>
      <c r="AC167" s="95"/>
      <c r="AD167" s="95"/>
      <c r="AE167" s="95"/>
      <c r="AF167" s="95"/>
      <c r="AG167" s="95"/>
      <c r="AH167" s="95"/>
      <c r="AI167" s="95"/>
      <c r="AJ167" s="95"/>
      <c r="AK167" s="95"/>
      <c r="AL167" s="95"/>
      <c r="AM167" s="95"/>
      <c r="AN167" s="95"/>
      <c r="AO167" s="95"/>
      <c r="AP167" s="95"/>
      <c r="AQ167" s="95"/>
      <c r="AR167" s="95"/>
      <c r="AS167" s="95"/>
    </row>
    <row r="168" ht="15.0" customHeight="1">
      <c r="AB168" s="95"/>
      <c r="AC168" s="95"/>
      <c r="AD168" s="95"/>
      <c r="AE168" s="95"/>
      <c r="AF168" s="95"/>
      <c r="AG168" s="95"/>
      <c r="AH168" s="95"/>
      <c r="AI168" s="95"/>
      <c r="AJ168" s="95"/>
      <c r="AK168" s="95"/>
      <c r="AL168" s="95"/>
      <c r="AM168" s="95"/>
      <c r="AN168" s="95"/>
      <c r="AO168" s="95"/>
      <c r="AP168" s="95"/>
      <c r="AQ168" s="95"/>
      <c r="AR168" s="95"/>
      <c r="AS168" s="95"/>
    </row>
    <row r="169" ht="15.0" customHeight="1">
      <c r="AB169" s="95"/>
      <c r="AC169" s="95"/>
      <c r="AD169" s="95"/>
      <c r="AE169" s="95"/>
      <c r="AF169" s="95"/>
      <c r="AG169" s="95"/>
      <c r="AH169" s="95"/>
      <c r="AI169" s="95"/>
      <c r="AJ169" s="95"/>
      <c r="AK169" s="95"/>
      <c r="AL169" s="95"/>
      <c r="AM169" s="95"/>
      <c r="AN169" s="95"/>
      <c r="AO169" s="95"/>
      <c r="AP169" s="95"/>
      <c r="AQ169" s="95"/>
      <c r="AR169" s="95"/>
      <c r="AS169" s="95"/>
    </row>
    <row r="170" ht="15.0" customHeight="1">
      <c r="AB170" s="95"/>
      <c r="AC170" s="95"/>
      <c r="AD170" s="95"/>
      <c r="AE170" s="95"/>
      <c r="AF170" s="95"/>
      <c r="AG170" s="95"/>
      <c r="AH170" s="95"/>
      <c r="AI170" s="95"/>
      <c r="AJ170" s="95"/>
      <c r="AK170" s="95"/>
      <c r="AL170" s="95"/>
      <c r="AM170" s="95"/>
      <c r="AN170" s="95"/>
      <c r="AO170" s="95"/>
      <c r="AP170" s="95"/>
      <c r="AQ170" s="95"/>
      <c r="AR170" s="95"/>
      <c r="AS170" s="95"/>
    </row>
    <row r="171" ht="15.0" customHeight="1">
      <c r="AB171" s="95"/>
      <c r="AC171" s="95"/>
      <c r="AD171" s="95"/>
      <c r="AE171" s="95"/>
      <c r="AF171" s="95"/>
      <c r="AG171" s="95"/>
      <c r="AH171" s="95"/>
      <c r="AI171" s="95"/>
      <c r="AJ171" s="95"/>
      <c r="AK171" s="95"/>
      <c r="AL171" s="95"/>
      <c r="AM171" s="95"/>
      <c r="AN171" s="95"/>
      <c r="AO171" s="95"/>
      <c r="AP171" s="95"/>
      <c r="AQ171" s="95"/>
      <c r="AR171" s="95"/>
      <c r="AS171" s="95"/>
    </row>
    <row r="172" ht="15.0" customHeight="1">
      <c r="AB172" s="95"/>
      <c r="AC172" s="95"/>
      <c r="AD172" s="95"/>
      <c r="AE172" s="95"/>
      <c r="AF172" s="95"/>
      <c r="AG172" s="95"/>
      <c r="AH172" s="95"/>
      <c r="AI172" s="95"/>
      <c r="AJ172" s="95"/>
      <c r="AK172" s="95"/>
      <c r="AL172" s="95"/>
      <c r="AM172" s="95"/>
      <c r="AN172" s="95"/>
      <c r="AO172" s="95"/>
      <c r="AP172" s="95"/>
      <c r="AQ172" s="95"/>
      <c r="AR172" s="95"/>
      <c r="AS172" s="95"/>
    </row>
    <row r="173" ht="15.0" customHeight="1">
      <c r="AB173" s="95"/>
      <c r="AC173" s="95"/>
      <c r="AD173" s="95"/>
      <c r="AE173" s="95"/>
      <c r="AF173" s="95"/>
      <c r="AG173" s="95"/>
      <c r="AH173" s="95"/>
      <c r="AI173" s="95"/>
      <c r="AJ173" s="95"/>
      <c r="AK173" s="95"/>
      <c r="AL173" s="95"/>
      <c r="AM173" s="95"/>
      <c r="AN173" s="95"/>
      <c r="AO173" s="95"/>
      <c r="AP173" s="95"/>
      <c r="AQ173" s="95"/>
      <c r="AR173" s="95"/>
      <c r="AS173" s="95"/>
    </row>
    <row r="174" ht="15.0" customHeight="1">
      <c r="AB174" s="95"/>
      <c r="AC174" s="95"/>
      <c r="AD174" s="95"/>
      <c r="AE174" s="95"/>
      <c r="AF174" s="95"/>
      <c r="AG174" s="95"/>
      <c r="AH174" s="95"/>
      <c r="AI174" s="95"/>
      <c r="AJ174" s="95"/>
      <c r="AK174" s="95"/>
      <c r="AL174" s="95"/>
      <c r="AM174" s="95"/>
      <c r="AN174" s="95"/>
      <c r="AO174" s="95"/>
      <c r="AP174" s="95"/>
      <c r="AQ174" s="95"/>
      <c r="AR174" s="95"/>
      <c r="AS174" s="95"/>
    </row>
    <row r="175" ht="15.0" customHeight="1">
      <c r="AB175" s="95"/>
      <c r="AC175" s="95"/>
      <c r="AD175" s="95"/>
      <c r="AE175" s="95"/>
      <c r="AF175" s="95"/>
      <c r="AG175" s="95"/>
      <c r="AH175" s="95"/>
      <c r="AI175" s="95"/>
      <c r="AJ175" s="95"/>
      <c r="AK175" s="95"/>
      <c r="AL175" s="95"/>
      <c r="AM175" s="95"/>
      <c r="AN175" s="95"/>
      <c r="AO175" s="95"/>
      <c r="AP175" s="95"/>
      <c r="AQ175" s="95"/>
      <c r="AR175" s="95"/>
      <c r="AS175" s="95"/>
    </row>
    <row r="176" ht="15.0" customHeight="1">
      <c r="AB176" s="95"/>
      <c r="AC176" s="95"/>
      <c r="AD176" s="95"/>
      <c r="AE176" s="95"/>
      <c r="AF176" s="95"/>
      <c r="AG176" s="95"/>
      <c r="AH176" s="95"/>
      <c r="AI176" s="95"/>
      <c r="AJ176" s="95"/>
      <c r="AK176" s="95"/>
      <c r="AL176" s="95"/>
      <c r="AM176" s="95"/>
      <c r="AN176" s="95"/>
      <c r="AO176" s="95"/>
      <c r="AP176" s="95"/>
      <c r="AQ176" s="95"/>
      <c r="AR176" s="95"/>
      <c r="AS176" s="95"/>
    </row>
    <row r="177" ht="15.0" customHeight="1">
      <c r="AB177" s="95"/>
      <c r="AC177" s="95"/>
      <c r="AD177" s="95"/>
      <c r="AE177" s="95"/>
      <c r="AF177" s="95"/>
      <c r="AG177" s="95"/>
      <c r="AH177" s="95"/>
      <c r="AI177" s="95"/>
      <c r="AJ177" s="95"/>
      <c r="AK177" s="95"/>
      <c r="AL177" s="95"/>
      <c r="AM177" s="95"/>
      <c r="AN177" s="95"/>
      <c r="AO177" s="95"/>
      <c r="AP177" s="95"/>
      <c r="AQ177" s="95"/>
      <c r="AR177" s="95"/>
      <c r="AS177" s="95"/>
    </row>
    <row r="178" ht="15.0" customHeight="1">
      <c r="AB178" s="95"/>
      <c r="AC178" s="95"/>
      <c r="AD178" s="95"/>
      <c r="AE178" s="95"/>
      <c r="AF178" s="95"/>
      <c r="AG178" s="95"/>
      <c r="AH178" s="95"/>
      <c r="AI178" s="95"/>
      <c r="AJ178" s="95"/>
      <c r="AK178" s="95"/>
      <c r="AL178" s="95"/>
      <c r="AM178" s="95"/>
      <c r="AN178" s="95"/>
      <c r="AO178" s="95"/>
      <c r="AP178" s="95"/>
      <c r="AQ178" s="95"/>
      <c r="AR178" s="95"/>
      <c r="AS178" s="95"/>
    </row>
    <row r="179" ht="15.0" customHeight="1">
      <c r="AB179" s="95"/>
      <c r="AC179" s="95"/>
      <c r="AD179" s="95"/>
      <c r="AE179" s="95"/>
      <c r="AF179" s="95"/>
      <c r="AG179" s="95"/>
      <c r="AH179" s="95"/>
      <c r="AI179" s="95"/>
      <c r="AJ179" s="95"/>
      <c r="AK179" s="95"/>
      <c r="AL179" s="95"/>
      <c r="AM179" s="95"/>
      <c r="AN179" s="95"/>
      <c r="AO179" s="95"/>
      <c r="AP179" s="95"/>
      <c r="AQ179" s="95"/>
      <c r="AR179" s="95"/>
      <c r="AS179" s="95"/>
    </row>
    <row r="180" ht="15.0" customHeight="1">
      <c r="AB180" s="95"/>
      <c r="AC180" s="95"/>
      <c r="AD180" s="95"/>
      <c r="AE180" s="95"/>
      <c r="AF180" s="95"/>
      <c r="AG180" s="95"/>
      <c r="AH180" s="95"/>
      <c r="AI180" s="95"/>
      <c r="AJ180" s="95"/>
      <c r="AK180" s="95"/>
      <c r="AL180" s="95"/>
      <c r="AM180" s="95"/>
      <c r="AN180" s="95"/>
      <c r="AO180" s="95"/>
      <c r="AP180" s="95"/>
      <c r="AQ180" s="95"/>
      <c r="AR180" s="95"/>
      <c r="AS180" s="95"/>
    </row>
    <row r="181" ht="15.0" customHeight="1">
      <c r="AB181" s="95"/>
      <c r="AC181" s="95"/>
      <c r="AD181" s="95"/>
      <c r="AE181" s="95"/>
      <c r="AF181" s="95"/>
      <c r="AG181" s="95"/>
      <c r="AH181" s="95"/>
      <c r="AI181" s="95"/>
      <c r="AJ181" s="95"/>
      <c r="AK181" s="95"/>
      <c r="AL181" s="95"/>
      <c r="AM181" s="95"/>
      <c r="AN181" s="95"/>
      <c r="AO181" s="95"/>
      <c r="AP181" s="95"/>
      <c r="AQ181" s="95"/>
      <c r="AR181" s="95"/>
      <c r="AS181" s="95"/>
    </row>
    <row r="182" ht="15.0" customHeight="1">
      <c r="AB182" s="95"/>
      <c r="AC182" s="95"/>
      <c r="AD182" s="95"/>
      <c r="AE182" s="95"/>
      <c r="AF182" s="95"/>
      <c r="AG182" s="95"/>
      <c r="AH182" s="95"/>
      <c r="AI182" s="95"/>
      <c r="AJ182" s="95"/>
      <c r="AK182" s="95"/>
      <c r="AL182" s="95"/>
      <c r="AM182" s="95"/>
      <c r="AN182" s="95"/>
      <c r="AO182" s="95"/>
      <c r="AP182" s="95"/>
      <c r="AQ182" s="95"/>
      <c r="AR182" s="95"/>
      <c r="AS182" s="95"/>
    </row>
    <row r="183" ht="15.0" customHeight="1">
      <c r="AB183" s="95"/>
      <c r="AC183" s="95"/>
      <c r="AD183" s="95"/>
      <c r="AE183" s="95"/>
      <c r="AF183" s="95"/>
      <c r="AG183" s="95"/>
      <c r="AH183" s="95"/>
      <c r="AI183" s="95"/>
      <c r="AJ183" s="95"/>
      <c r="AK183" s="95"/>
      <c r="AL183" s="95"/>
      <c r="AM183" s="95"/>
      <c r="AN183" s="95"/>
      <c r="AO183" s="95"/>
      <c r="AP183" s="95"/>
      <c r="AQ183" s="95"/>
      <c r="AR183" s="95"/>
      <c r="AS183" s="95"/>
    </row>
    <row r="184" ht="15.0" customHeight="1">
      <c r="AB184" s="95"/>
      <c r="AC184" s="95"/>
      <c r="AD184" s="95"/>
      <c r="AE184" s="95"/>
      <c r="AF184" s="95"/>
      <c r="AG184" s="95"/>
      <c r="AH184" s="95"/>
      <c r="AI184" s="95"/>
      <c r="AJ184" s="95"/>
      <c r="AK184" s="95"/>
      <c r="AL184" s="95"/>
      <c r="AM184" s="95"/>
      <c r="AN184" s="95"/>
      <c r="AO184" s="95"/>
      <c r="AP184" s="95"/>
      <c r="AQ184" s="95"/>
      <c r="AR184" s="95"/>
      <c r="AS184" s="95"/>
    </row>
    <row r="185" ht="15.0" customHeight="1">
      <c r="AB185" s="95"/>
      <c r="AC185" s="95"/>
      <c r="AD185" s="95"/>
      <c r="AE185" s="95"/>
      <c r="AF185" s="95"/>
      <c r="AG185" s="95"/>
      <c r="AH185" s="95"/>
      <c r="AI185" s="95"/>
      <c r="AJ185" s="95"/>
      <c r="AK185" s="95"/>
      <c r="AL185" s="95"/>
      <c r="AM185" s="95"/>
      <c r="AN185" s="95"/>
      <c r="AO185" s="95"/>
      <c r="AP185" s="95"/>
      <c r="AQ185" s="95"/>
      <c r="AR185" s="95"/>
      <c r="AS185" s="95"/>
    </row>
    <row r="186" ht="15.0" customHeight="1">
      <c r="AB186" s="95"/>
      <c r="AC186" s="95"/>
      <c r="AD186" s="95"/>
      <c r="AE186" s="95"/>
      <c r="AF186" s="95"/>
      <c r="AG186" s="95"/>
      <c r="AH186" s="95"/>
      <c r="AI186" s="95"/>
      <c r="AJ186" s="95"/>
      <c r="AK186" s="95"/>
      <c r="AL186" s="95"/>
      <c r="AM186" s="95"/>
      <c r="AN186" s="95"/>
      <c r="AO186" s="95"/>
      <c r="AP186" s="95"/>
      <c r="AQ186" s="95"/>
      <c r="AR186" s="95"/>
      <c r="AS186" s="95"/>
    </row>
    <row r="187" ht="15.0" customHeight="1">
      <c r="AB187" s="95"/>
      <c r="AC187" s="95"/>
      <c r="AD187" s="95"/>
      <c r="AE187" s="95"/>
      <c r="AF187" s="95"/>
      <c r="AG187" s="95"/>
      <c r="AH187" s="95"/>
      <c r="AI187" s="95"/>
      <c r="AJ187" s="95"/>
      <c r="AK187" s="95"/>
      <c r="AL187" s="95"/>
      <c r="AM187" s="95"/>
      <c r="AN187" s="95"/>
      <c r="AO187" s="95"/>
      <c r="AP187" s="95"/>
      <c r="AQ187" s="95"/>
      <c r="AR187" s="95"/>
      <c r="AS187" s="95"/>
    </row>
    <row r="188" ht="15.0" customHeight="1">
      <c r="AB188" s="95"/>
      <c r="AC188" s="95"/>
      <c r="AD188" s="95"/>
      <c r="AE188" s="95"/>
      <c r="AF188" s="95"/>
      <c r="AG188" s="95"/>
      <c r="AH188" s="95"/>
      <c r="AI188" s="95"/>
      <c r="AJ188" s="95"/>
      <c r="AK188" s="95"/>
      <c r="AL188" s="95"/>
      <c r="AM188" s="95"/>
      <c r="AN188" s="95"/>
      <c r="AO188" s="95"/>
      <c r="AP188" s="95"/>
      <c r="AQ188" s="95"/>
      <c r="AR188" s="95"/>
      <c r="AS188" s="95"/>
    </row>
    <row r="189" ht="15.0" customHeight="1">
      <c r="AB189" s="95"/>
      <c r="AC189" s="95"/>
      <c r="AD189" s="95"/>
      <c r="AE189" s="95"/>
      <c r="AF189" s="95"/>
      <c r="AG189" s="95"/>
      <c r="AH189" s="95"/>
      <c r="AI189" s="95"/>
      <c r="AJ189" s="95"/>
      <c r="AK189" s="95"/>
      <c r="AL189" s="95"/>
      <c r="AM189" s="95"/>
      <c r="AN189" s="95"/>
      <c r="AO189" s="95"/>
      <c r="AP189" s="95"/>
      <c r="AQ189" s="95"/>
      <c r="AR189" s="95"/>
      <c r="AS189" s="95"/>
    </row>
    <row r="190" ht="15.0" customHeight="1">
      <c r="AB190" s="95"/>
      <c r="AC190" s="95"/>
      <c r="AD190" s="95"/>
      <c r="AE190" s="95"/>
      <c r="AF190" s="95"/>
      <c r="AG190" s="95"/>
      <c r="AH190" s="95"/>
      <c r="AI190" s="95"/>
      <c r="AJ190" s="95"/>
      <c r="AK190" s="95"/>
      <c r="AL190" s="95"/>
      <c r="AM190" s="95"/>
      <c r="AN190" s="95"/>
      <c r="AO190" s="95"/>
      <c r="AP190" s="95"/>
      <c r="AQ190" s="95"/>
      <c r="AR190" s="95"/>
      <c r="AS190" s="95"/>
    </row>
    <row r="191" ht="15.0" customHeight="1">
      <c r="AB191" s="95"/>
      <c r="AC191" s="95"/>
      <c r="AD191" s="95"/>
      <c r="AE191" s="95"/>
      <c r="AF191" s="95"/>
      <c r="AG191" s="95"/>
      <c r="AH191" s="95"/>
      <c r="AI191" s="95"/>
      <c r="AJ191" s="95"/>
      <c r="AK191" s="95"/>
      <c r="AL191" s="95"/>
      <c r="AM191" s="95"/>
      <c r="AN191" s="95"/>
      <c r="AO191" s="95"/>
      <c r="AP191" s="95"/>
      <c r="AQ191" s="95"/>
      <c r="AR191" s="95"/>
      <c r="AS191" s="95"/>
    </row>
    <row r="192" ht="15.0" customHeight="1">
      <c r="AB192" s="95"/>
      <c r="AC192" s="95"/>
      <c r="AD192" s="95"/>
      <c r="AE192" s="95"/>
      <c r="AF192" s="95"/>
      <c r="AG192" s="95"/>
      <c r="AH192" s="95"/>
      <c r="AI192" s="95"/>
      <c r="AJ192" s="95"/>
      <c r="AK192" s="95"/>
      <c r="AL192" s="95"/>
      <c r="AM192" s="95"/>
      <c r="AN192" s="95"/>
      <c r="AO192" s="95"/>
      <c r="AP192" s="95"/>
      <c r="AQ192" s="95"/>
      <c r="AR192" s="95"/>
      <c r="AS192" s="95"/>
    </row>
    <row r="193" ht="15.0" customHeight="1">
      <c r="AB193" s="95"/>
      <c r="AC193" s="95"/>
      <c r="AD193" s="95"/>
      <c r="AE193" s="95"/>
      <c r="AF193" s="95"/>
      <c r="AG193" s="95"/>
      <c r="AH193" s="95"/>
      <c r="AI193" s="95"/>
      <c r="AJ193" s="95"/>
      <c r="AK193" s="95"/>
      <c r="AL193" s="95"/>
      <c r="AM193" s="95"/>
      <c r="AN193" s="95"/>
      <c r="AO193" s="95"/>
      <c r="AP193" s="95"/>
      <c r="AQ193" s="95"/>
      <c r="AR193" s="95"/>
      <c r="AS193" s="95"/>
    </row>
    <row r="194" ht="15.0" customHeight="1">
      <c r="AB194" s="95"/>
      <c r="AC194" s="95"/>
      <c r="AD194" s="95"/>
      <c r="AE194" s="95"/>
      <c r="AF194" s="95"/>
      <c r="AG194" s="95"/>
      <c r="AH194" s="95"/>
      <c r="AI194" s="95"/>
      <c r="AJ194" s="95"/>
      <c r="AK194" s="95"/>
      <c r="AL194" s="95"/>
      <c r="AM194" s="95"/>
      <c r="AN194" s="95"/>
      <c r="AO194" s="95"/>
      <c r="AP194" s="95"/>
      <c r="AQ194" s="95"/>
      <c r="AR194" s="95"/>
      <c r="AS194" s="95"/>
    </row>
    <row r="195" ht="15.0" customHeight="1">
      <c r="AB195" s="95"/>
      <c r="AC195" s="95"/>
      <c r="AD195" s="95"/>
      <c r="AE195" s="95"/>
      <c r="AF195" s="95"/>
      <c r="AG195" s="95"/>
      <c r="AH195" s="95"/>
      <c r="AI195" s="95"/>
      <c r="AJ195" s="95"/>
      <c r="AK195" s="95"/>
      <c r="AL195" s="95"/>
      <c r="AM195" s="95"/>
      <c r="AN195" s="95"/>
      <c r="AO195" s="95"/>
      <c r="AP195" s="95"/>
      <c r="AQ195" s="95"/>
      <c r="AR195" s="95"/>
      <c r="AS195" s="95"/>
    </row>
    <row r="196" ht="15.0" customHeight="1">
      <c r="AB196" s="95"/>
      <c r="AC196" s="95"/>
      <c r="AD196" s="95"/>
      <c r="AE196" s="95"/>
      <c r="AF196" s="95"/>
      <c r="AG196" s="95"/>
      <c r="AH196" s="95"/>
      <c r="AI196" s="95"/>
      <c r="AJ196" s="95"/>
      <c r="AK196" s="95"/>
      <c r="AL196" s="95"/>
      <c r="AM196" s="95"/>
      <c r="AN196" s="95"/>
      <c r="AO196" s="95"/>
      <c r="AP196" s="95"/>
      <c r="AQ196" s="95"/>
      <c r="AR196" s="95"/>
      <c r="AS196" s="95"/>
    </row>
    <row r="197" ht="15.0" customHeight="1">
      <c r="AB197" s="95"/>
      <c r="AC197" s="95"/>
      <c r="AD197" s="95"/>
      <c r="AE197" s="95"/>
      <c r="AF197" s="95"/>
      <c r="AG197" s="95"/>
      <c r="AH197" s="95"/>
      <c r="AI197" s="95"/>
      <c r="AJ197" s="95"/>
      <c r="AK197" s="95"/>
      <c r="AL197" s="95"/>
      <c r="AM197" s="95"/>
      <c r="AN197" s="95"/>
      <c r="AO197" s="95"/>
      <c r="AP197" s="95"/>
      <c r="AQ197" s="95"/>
      <c r="AR197" s="95"/>
      <c r="AS197" s="95"/>
    </row>
    <row r="198" ht="15.0" customHeight="1">
      <c r="AB198" s="95"/>
      <c r="AC198" s="95"/>
      <c r="AD198" s="95"/>
      <c r="AE198" s="95"/>
      <c r="AF198" s="95"/>
      <c r="AG198" s="95"/>
      <c r="AH198" s="95"/>
      <c r="AI198" s="95"/>
      <c r="AJ198" s="95"/>
      <c r="AK198" s="95"/>
      <c r="AL198" s="95"/>
      <c r="AM198" s="95"/>
      <c r="AN198" s="95"/>
      <c r="AO198" s="95"/>
      <c r="AP198" s="95"/>
      <c r="AQ198" s="95"/>
      <c r="AR198" s="95"/>
      <c r="AS198" s="95"/>
    </row>
    <row r="199" ht="15.0" customHeight="1">
      <c r="AB199" s="95"/>
      <c r="AC199" s="95"/>
      <c r="AD199" s="95"/>
      <c r="AE199" s="95"/>
      <c r="AF199" s="95"/>
      <c r="AG199" s="95"/>
      <c r="AH199" s="95"/>
      <c r="AI199" s="95"/>
      <c r="AJ199" s="95"/>
      <c r="AK199" s="95"/>
      <c r="AL199" s="95"/>
      <c r="AM199" s="95"/>
      <c r="AN199" s="95"/>
      <c r="AO199" s="95"/>
      <c r="AP199" s="95"/>
      <c r="AQ199" s="95"/>
      <c r="AR199" s="95"/>
      <c r="AS199" s="95"/>
    </row>
    <row r="200" ht="15.0" customHeight="1">
      <c r="AB200" s="95"/>
      <c r="AC200" s="95"/>
      <c r="AD200" s="95"/>
      <c r="AE200" s="95"/>
      <c r="AF200" s="95"/>
      <c r="AG200" s="95"/>
      <c r="AH200" s="95"/>
      <c r="AI200" s="95"/>
      <c r="AJ200" s="95"/>
      <c r="AK200" s="95"/>
      <c r="AL200" s="95"/>
      <c r="AM200" s="95"/>
      <c r="AN200" s="95"/>
      <c r="AO200" s="95"/>
      <c r="AP200" s="95"/>
      <c r="AQ200" s="95"/>
      <c r="AR200" s="95"/>
      <c r="AS200" s="95"/>
    </row>
    <row r="201" ht="15.0" customHeight="1">
      <c r="AB201" s="95"/>
      <c r="AC201" s="95"/>
      <c r="AD201" s="95"/>
      <c r="AE201" s="95"/>
      <c r="AF201" s="95"/>
      <c r="AG201" s="95"/>
      <c r="AH201" s="95"/>
      <c r="AI201" s="95"/>
      <c r="AJ201" s="95"/>
      <c r="AK201" s="95"/>
      <c r="AL201" s="95"/>
      <c r="AM201" s="95"/>
      <c r="AN201" s="95"/>
      <c r="AO201" s="95"/>
      <c r="AP201" s="95"/>
      <c r="AQ201" s="95"/>
      <c r="AR201" s="95"/>
      <c r="AS201" s="95"/>
    </row>
    <row r="202" ht="15.0" customHeight="1">
      <c r="AB202" s="95"/>
      <c r="AC202" s="95"/>
      <c r="AD202" s="95"/>
      <c r="AE202" s="95"/>
      <c r="AF202" s="95"/>
      <c r="AG202" s="95"/>
      <c r="AH202" s="95"/>
      <c r="AI202" s="95"/>
      <c r="AJ202" s="95"/>
      <c r="AK202" s="95"/>
      <c r="AL202" s="95"/>
      <c r="AM202" s="95"/>
      <c r="AN202" s="95"/>
      <c r="AO202" s="95"/>
      <c r="AP202" s="95"/>
      <c r="AQ202" s="95"/>
      <c r="AR202" s="95"/>
      <c r="AS202" s="95"/>
    </row>
    <row r="203" ht="15.0" customHeight="1">
      <c r="AB203" s="95"/>
      <c r="AC203" s="95"/>
      <c r="AD203" s="95"/>
      <c r="AE203" s="95"/>
      <c r="AF203" s="95"/>
      <c r="AG203" s="95"/>
      <c r="AH203" s="95"/>
      <c r="AI203" s="95"/>
      <c r="AJ203" s="95"/>
      <c r="AK203" s="95"/>
      <c r="AL203" s="95"/>
      <c r="AM203" s="95"/>
      <c r="AN203" s="95"/>
      <c r="AO203" s="95"/>
      <c r="AP203" s="95"/>
      <c r="AQ203" s="95"/>
      <c r="AR203" s="95"/>
      <c r="AS203" s="95"/>
    </row>
    <row r="204" ht="15.0" customHeight="1">
      <c r="AB204" s="95"/>
      <c r="AC204" s="95"/>
      <c r="AD204" s="95"/>
      <c r="AE204" s="95"/>
      <c r="AF204" s="95"/>
      <c r="AG204" s="95"/>
      <c r="AH204" s="95"/>
      <c r="AI204" s="95"/>
      <c r="AJ204" s="95"/>
      <c r="AK204" s="95"/>
      <c r="AL204" s="95"/>
      <c r="AM204" s="95"/>
      <c r="AN204" s="95"/>
      <c r="AO204" s="95"/>
      <c r="AP204" s="95"/>
      <c r="AQ204" s="95"/>
      <c r="AR204" s="95"/>
      <c r="AS204" s="95"/>
    </row>
    <row r="205" ht="15.0" customHeight="1">
      <c r="AB205" s="95"/>
      <c r="AC205" s="95"/>
      <c r="AD205" s="95"/>
      <c r="AE205" s="95"/>
      <c r="AF205" s="95"/>
      <c r="AG205" s="95"/>
      <c r="AH205" s="95"/>
      <c r="AI205" s="95"/>
      <c r="AJ205" s="95"/>
      <c r="AK205" s="95"/>
      <c r="AL205" s="95"/>
      <c r="AM205" s="95"/>
      <c r="AN205" s="95"/>
      <c r="AO205" s="95"/>
      <c r="AP205" s="95"/>
      <c r="AQ205" s="95"/>
      <c r="AR205" s="95"/>
      <c r="AS205" s="95"/>
    </row>
    <row r="206" ht="15.0" customHeight="1">
      <c r="AB206" s="95"/>
      <c r="AC206" s="95"/>
      <c r="AD206" s="95"/>
      <c r="AE206" s="95"/>
      <c r="AF206" s="95"/>
      <c r="AG206" s="95"/>
      <c r="AH206" s="95"/>
      <c r="AI206" s="95"/>
      <c r="AJ206" s="95"/>
      <c r="AK206" s="95"/>
      <c r="AL206" s="95"/>
      <c r="AM206" s="95"/>
      <c r="AN206" s="95"/>
      <c r="AO206" s="95"/>
      <c r="AP206" s="95"/>
      <c r="AQ206" s="95"/>
      <c r="AR206" s="95"/>
      <c r="AS206" s="95"/>
    </row>
    <row r="207" ht="15.0" customHeight="1">
      <c r="AB207" s="95"/>
      <c r="AC207" s="95"/>
      <c r="AD207" s="95"/>
      <c r="AE207" s="95"/>
      <c r="AF207" s="95"/>
      <c r="AG207" s="95"/>
      <c r="AH207" s="95"/>
      <c r="AI207" s="95"/>
      <c r="AJ207" s="95"/>
      <c r="AK207" s="95"/>
      <c r="AL207" s="95"/>
      <c r="AM207" s="95"/>
      <c r="AN207" s="95"/>
      <c r="AO207" s="95"/>
      <c r="AP207" s="95"/>
      <c r="AQ207" s="95"/>
      <c r="AR207" s="95"/>
      <c r="AS207" s="95"/>
    </row>
    <row r="208" ht="15.0" customHeight="1">
      <c r="AB208" s="95"/>
      <c r="AC208" s="95"/>
      <c r="AD208" s="95"/>
      <c r="AE208" s="95"/>
      <c r="AF208" s="95"/>
      <c r="AG208" s="95"/>
      <c r="AH208" s="95"/>
      <c r="AI208" s="95"/>
      <c r="AJ208" s="95"/>
      <c r="AK208" s="95"/>
      <c r="AL208" s="95"/>
      <c r="AM208" s="95"/>
      <c r="AN208" s="95"/>
      <c r="AO208" s="95"/>
      <c r="AP208" s="95"/>
      <c r="AQ208" s="95"/>
      <c r="AR208" s="95"/>
      <c r="AS208" s="95"/>
    </row>
    <row r="209" ht="15.0" customHeight="1">
      <c r="AB209" s="95"/>
      <c r="AC209" s="95"/>
      <c r="AD209" s="95"/>
      <c r="AE209" s="95"/>
      <c r="AF209" s="95"/>
      <c r="AG209" s="95"/>
      <c r="AH209" s="95"/>
      <c r="AI209" s="95"/>
      <c r="AJ209" s="95"/>
      <c r="AK209" s="95"/>
      <c r="AL209" s="95"/>
      <c r="AM209" s="95"/>
      <c r="AN209" s="95"/>
      <c r="AO209" s="95"/>
      <c r="AP209" s="95"/>
      <c r="AQ209" s="95"/>
      <c r="AR209" s="95"/>
      <c r="AS209" s="95"/>
    </row>
    <row r="210" ht="15.0" customHeight="1">
      <c r="AB210" s="95"/>
      <c r="AC210" s="95"/>
      <c r="AD210" s="95"/>
      <c r="AE210" s="95"/>
      <c r="AF210" s="95"/>
      <c r="AG210" s="95"/>
      <c r="AH210" s="95"/>
      <c r="AI210" s="95"/>
      <c r="AJ210" s="95"/>
      <c r="AK210" s="95"/>
      <c r="AL210" s="95"/>
      <c r="AM210" s="95"/>
      <c r="AN210" s="95"/>
      <c r="AO210" s="95"/>
      <c r="AP210" s="95"/>
      <c r="AQ210" s="95"/>
      <c r="AR210" s="95"/>
      <c r="AS210" s="95"/>
    </row>
    <row r="211" ht="15.0" customHeight="1">
      <c r="AB211" s="95"/>
      <c r="AC211" s="95"/>
      <c r="AD211" s="95"/>
      <c r="AE211" s="95"/>
      <c r="AF211" s="95"/>
      <c r="AG211" s="95"/>
      <c r="AH211" s="95"/>
      <c r="AI211" s="95"/>
      <c r="AJ211" s="95"/>
      <c r="AK211" s="95"/>
      <c r="AL211" s="95"/>
      <c r="AM211" s="95"/>
      <c r="AN211" s="95"/>
      <c r="AO211" s="95"/>
      <c r="AP211" s="95"/>
      <c r="AQ211" s="95"/>
      <c r="AR211" s="95"/>
      <c r="AS211" s="95"/>
    </row>
    <row r="212" ht="15.0" customHeight="1">
      <c r="AB212" s="95"/>
      <c r="AC212" s="95"/>
      <c r="AD212" s="95"/>
      <c r="AE212" s="95"/>
      <c r="AF212" s="95"/>
      <c r="AG212" s="95"/>
      <c r="AH212" s="95"/>
      <c r="AI212" s="95"/>
      <c r="AJ212" s="95"/>
      <c r="AK212" s="95"/>
      <c r="AL212" s="95"/>
      <c r="AM212" s="95"/>
      <c r="AN212" s="95"/>
      <c r="AO212" s="95"/>
      <c r="AP212" s="95"/>
      <c r="AQ212" s="95"/>
      <c r="AR212" s="95"/>
      <c r="AS212" s="95"/>
    </row>
    <row r="213" ht="15.0" customHeight="1">
      <c r="AB213" s="95"/>
      <c r="AC213" s="95"/>
      <c r="AD213" s="95"/>
      <c r="AE213" s="95"/>
      <c r="AF213" s="95"/>
      <c r="AG213" s="95"/>
      <c r="AH213" s="95"/>
      <c r="AI213" s="95"/>
      <c r="AJ213" s="95"/>
      <c r="AK213" s="95"/>
      <c r="AL213" s="95"/>
      <c r="AM213" s="95"/>
      <c r="AN213" s="95"/>
      <c r="AO213" s="95"/>
      <c r="AP213" s="95"/>
      <c r="AQ213" s="95"/>
      <c r="AR213" s="95"/>
      <c r="AS213" s="95"/>
    </row>
    <row r="214" ht="15.0" customHeight="1">
      <c r="AB214" s="95"/>
      <c r="AC214" s="95"/>
      <c r="AD214" s="95"/>
      <c r="AE214" s="95"/>
      <c r="AF214" s="95"/>
      <c r="AG214" s="95"/>
      <c r="AH214" s="95"/>
      <c r="AI214" s="95"/>
      <c r="AJ214" s="95"/>
      <c r="AK214" s="95"/>
      <c r="AL214" s="95"/>
      <c r="AM214" s="95"/>
      <c r="AN214" s="95"/>
      <c r="AO214" s="95"/>
      <c r="AP214" s="95"/>
      <c r="AQ214" s="95"/>
      <c r="AR214" s="95"/>
      <c r="AS214" s="95"/>
    </row>
    <row r="215" ht="15.0" customHeight="1">
      <c r="AB215" s="95"/>
      <c r="AC215" s="95"/>
      <c r="AD215" s="95"/>
      <c r="AE215" s="95"/>
      <c r="AF215" s="95"/>
      <c r="AG215" s="95"/>
      <c r="AH215" s="95"/>
      <c r="AI215" s="95"/>
      <c r="AJ215" s="95"/>
      <c r="AK215" s="95"/>
      <c r="AL215" s="95"/>
      <c r="AM215" s="95"/>
      <c r="AN215" s="95"/>
      <c r="AO215" s="95"/>
      <c r="AP215" s="95"/>
      <c r="AQ215" s="95"/>
      <c r="AR215" s="95"/>
      <c r="AS215" s="95"/>
    </row>
    <row r="216" ht="15.0" customHeight="1">
      <c r="AB216" s="95"/>
      <c r="AC216" s="95"/>
      <c r="AD216" s="95"/>
      <c r="AE216" s="95"/>
      <c r="AF216" s="95"/>
      <c r="AG216" s="95"/>
      <c r="AH216" s="95"/>
      <c r="AI216" s="95"/>
      <c r="AJ216" s="95"/>
      <c r="AK216" s="95"/>
      <c r="AL216" s="95"/>
      <c r="AM216" s="95"/>
      <c r="AN216" s="95"/>
      <c r="AO216" s="95"/>
      <c r="AP216" s="95"/>
      <c r="AQ216" s="95"/>
      <c r="AR216" s="95"/>
      <c r="AS216" s="95"/>
    </row>
    <row r="217" ht="15.0" customHeight="1">
      <c r="AB217" s="95"/>
      <c r="AC217" s="95"/>
      <c r="AD217" s="95"/>
      <c r="AE217" s="95"/>
      <c r="AF217" s="95"/>
      <c r="AG217" s="95"/>
      <c r="AH217" s="95"/>
      <c r="AI217" s="95"/>
      <c r="AJ217" s="95"/>
      <c r="AK217" s="95"/>
      <c r="AL217" s="95"/>
      <c r="AM217" s="95"/>
      <c r="AN217" s="95"/>
      <c r="AO217" s="95"/>
      <c r="AP217" s="95"/>
      <c r="AQ217" s="95"/>
      <c r="AR217" s="95"/>
      <c r="AS217" s="95"/>
    </row>
    <row r="218" ht="15.0" customHeight="1">
      <c r="AB218" s="95"/>
      <c r="AC218" s="95"/>
      <c r="AD218" s="95"/>
      <c r="AE218" s="95"/>
      <c r="AF218" s="95"/>
      <c r="AG218" s="95"/>
      <c r="AH218" s="95"/>
      <c r="AI218" s="95"/>
      <c r="AJ218" s="95"/>
      <c r="AK218" s="95"/>
      <c r="AL218" s="95"/>
      <c r="AM218" s="95"/>
      <c r="AN218" s="95"/>
      <c r="AO218" s="95"/>
      <c r="AP218" s="95"/>
      <c r="AQ218" s="95"/>
      <c r="AR218" s="95"/>
      <c r="AS218" s="95"/>
    </row>
    <row r="219" ht="15.0" customHeight="1">
      <c r="AB219" s="95"/>
      <c r="AC219" s="95"/>
      <c r="AD219" s="95"/>
      <c r="AE219" s="95"/>
      <c r="AF219" s="95"/>
      <c r="AG219" s="95"/>
      <c r="AH219" s="95"/>
      <c r="AI219" s="95"/>
      <c r="AJ219" s="95"/>
      <c r="AK219" s="95"/>
      <c r="AL219" s="95"/>
      <c r="AM219" s="95"/>
      <c r="AN219" s="95"/>
      <c r="AO219" s="95"/>
      <c r="AP219" s="95"/>
      <c r="AQ219" s="95"/>
      <c r="AR219" s="95"/>
      <c r="AS219" s="95"/>
    </row>
    <row r="220" ht="15.0" customHeight="1">
      <c r="AB220" s="95"/>
      <c r="AC220" s="95"/>
      <c r="AD220" s="95"/>
      <c r="AE220" s="95"/>
      <c r="AF220" s="95"/>
      <c r="AG220" s="95"/>
      <c r="AH220" s="95"/>
      <c r="AI220" s="95"/>
      <c r="AJ220" s="95"/>
      <c r="AK220" s="95"/>
      <c r="AL220" s="95"/>
      <c r="AM220" s="95"/>
      <c r="AN220" s="95"/>
      <c r="AO220" s="95"/>
      <c r="AP220" s="95"/>
      <c r="AQ220" s="95"/>
      <c r="AR220" s="95"/>
      <c r="AS220" s="95"/>
    </row>
    <row r="221" ht="15.0" customHeight="1">
      <c r="AB221" s="95"/>
      <c r="AC221" s="95"/>
      <c r="AD221" s="95"/>
      <c r="AE221" s="95"/>
      <c r="AF221" s="95"/>
      <c r="AG221" s="95"/>
      <c r="AH221" s="95"/>
      <c r="AI221" s="95"/>
      <c r="AJ221" s="95"/>
      <c r="AK221" s="95"/>
      <c r="AL221" s="95"/>
      <c r="AM221" s="95"/>
      <c r="AN221" s="95"/>
      <c r="AO221" s="95"/>
      <c r="AP221" s="95"/>
      <c r="AQ221" s="95"/>
      <c r="AR221" s="95"/>
      <c r="AS221" s="95"/>
    </row>
    <row r="222" ht="15.0" customHeight="1">
      <c r="AB222" s="95"/>
      <c r="AC222" s="95"/>
      <c r="AD222" s="95"/>
      <c r="AE222" s="95"/>
      <c r="AF222" s="95"/>
      <c r="AG222" s="95"/>
      <c r="AH222" s="95"/>
      <c r="AI222" s="95"/>
      <c r="AJ222" s="95"/>
      <c r="AK222" s="95"/>
      <c r="AL222" s="95"/>
      <c r="AM222" s="95"/>
      <c r="AN222" s="95"/>
      <c r="AO222" s="95"/>
      <c r="AP222" s="95"/>
      <c r="AQ222" s="95"/>
      <c r="AR222" s="95"/>
      <c r="AS222" s="95"/>
    </row>
    <row r="223" ht="15.0" customHeight="1">
      <c r="AB223" s="95"/>
      <c r="AC223" s="95"/>
      <c r="AD223" s="95"/>
      <c r="AE223" s="95"/>
      <c r="AF223" s="95"/>
      <c r="AG223" s="95"/>
      <c r="AH223" s="95"/>
      <c r="AI223" s="95"/>
      <c r="AJ223" s="95"/>
      <c r="AK223" s="95"/>
      <c r="AL223" s="95"/>
      <c r="AM223" s="95"/>
      <c r="AN223" s="95"/>
      <c r="AO223" s="95"/>
      <c r="AP223" s="95"/>
      <c r="AQ223" s="95"/>
      <c r="AR223" s="95"/>
      <c r="AS223" s="95"/>
    </row>
    <row r="224" ht="15.0" customHeight="1">
      <c r="AB224" s="95"/>
      <c r="AC224" s="95"/>
      <c r="AD224" s="95"/>
      <c r="AE224" s="95"/>
      <c r="AF224" s="95"/>
      <c r="AG224" s="95"/>
      <c r="AH224" s="95"/>
      <c r="AI224" s="95"/>
      <c r="AJ224" s="95"/>
      <c r="AK224" s="95"/>
      <c r="AL224" s="95"/>
      <c r="AM224" s="95"/>
      <c r="AN224" s="95"/>
      <c r="AO224" s="95"/>
      <c r="AP224" s="95"/>
      <c r="AQ224" s="95"/>
      <c r="AR224" s="95"/>
      <c r="AS224" s="95"/>
    </row>
    <row r="225" ht="15.0" customHeight="1">
      <c r="AB225" s="95"/>
      <c r="AC225" s="95"/>
      <c r="AD225" s="95"/>
      <c r="AE225" s="95"/>
      <c r="AF225" s="95"/>
      <c r="AG225" s="95"/>
      <c r="AH225" s="95"/>
      <c r="AI225" s="95"/>
      <c r="AJ225" s="95"/>
      <c r="AK225" s="95"/>
      <c r="AL225" s="95"/>
      <c r="AM225" s="95"/>
      <c r="AN225" s="95"/>
      <c r="AO225" s="95"/>
      <c r="AP225" s="95"/>
      <c r="AQ225" s="95"/>
      <c r="AR225" s="95"/>
      <c r="AS225" s="95"/>
    </row>
    <row r="226" ht="15.0" customHeight="1">
      <c r="AB226" s="95"/>
      <c r="AC226" s="95"/>
      <c r="AD226" s="95"/>
      <c r="AE226" s="95"/>
      <c r="AF226" s="95"/>
      <c r="AG226" s="95"/>
      <c r="AH226" s="95"/>
      <c r="AI226" s="95"/>
      <c r="AJ226" s="95"/>
      <c r="AK226" s="95"/>
      <c r="AL226" s="95"/>
      <c r="AM226" s="95"/>
      <c r="AN226" s="95"/>
      <c r="AO226" s="95"/>
      <c r="AP226" s="95"/>
      <c r="AQ226" s="95"/>
      <c r="AR226" s="95"/>
      <c r="AS226" s="95"/>
    </row>
    <row r="227" ht="15.0" customHeight="1">
      <c r="AB227" s="95"/>
      <c r="AC227" s="95"/>
      <c r="AD227" s="95"/>
      <c r="AE227" s="95"/>
      <c r="AF227" s="95"/>
      <c r="AG227" s="95"/>
      <c r="AH227" s="95"/>
      <c r="AI227" s="95"/>
      <c r="AJ227" s="95"/>
      <c r="AK227" s="95"/>
      <c r="AL227" s="95"/>
      <c r="AM227" s="95"/>
      <c r="AN227" s="95"/>
      <c r="AO227" s="95"/>
      <c r="AP227" s="95"/>
      <c r="AQ227" s="95"/>
      <c r="AR227" s="95"/>
      <c r="AS227" s="95"/>
    </row>
    <row r="228" ht="15.0" customHeight="1">
      <c r="AB228" s="95"/>
      <c r="AC228" s="95"/>
      <c r="AD228" s="95"/>
      <c r="AE228" s="95"/>
      <c r="AF228" s="95"/>
      <c r="AG228" s="95"/>
      <c r="AH228" s="95"/>
      <c r="AI228" s="95"/>
      <c r="AJ228" s="95"/>
      <c r="AK228" s="95"/>
      <c r="AL228" s="95"/>
      <c r="AM228" s="95"/>
      <c r="AN228" s="95"/>
      <c r="AO228" s="95"/>
      <c r="AP228" s="95"/>
      <c r="AQ228" s="95"/>
      <c r="AR228" s="95"/>
      <c r="AS228" s="95"/>
    </row>
    <row r="229" ht="15.0" customHeight="1">
      <c r="AB229" s="95"/>
      <c r="AC229" s="95"/>
      <c r="AD229" s="95"/>
      <c r="AE229" s="95"/>
      <c r="AF229" s="95"/>
      <c r="AG229" s="95"/>
      <c r="AH229" s="95"/>
      <c r="AI229" s="95"/>
      <c r="AJ229" s="95"/>
      <c r="AK229" s="95"/>
      <c r="AL229" s="95"/>
      <c r="AM229" s="95"/>
      <c r="AN229" s="95"/>
      <c r="AO229" s="95"/>
      <c r="AP229" s="95"/>
      <c r="AQ229" s="95"/>
      <c r="AR229" s="95"/>
      <c r="AS229" s="95"/>
    </row>
    <row r="230" ht="15.0" customHeight="1">
      <c r="AB230" s="95"/>
      <c r="AC230" s="95"/>
      <c r="AD230" s="95"/>
      <c r="AE230" s="95"/>
      <c r="AF230" s="95"/>
      <c r="AG230" s="95"/>
      <c r="AH230" s="95"/>
      <c r="AI230" s="95"/>
      <c r="AJ230" s="95"/>
      <c r="AK230" s="95"/>
      <c r="AL230" s="95"/>
      <c r="AM230" s="95"/>
      <c r="AN230" s="95"/>
      <c r="AO230" s="95"/>
      <c r="AP230" s="95"/>
      <c r="AQ230" s="95"/>
      <c r="AR230" s="95"/>
      <c r="AS230" s="95"/>
    </row>
    <row r="231" ht="15.0" customHeight="1">
      <c r="AB231" s="95"/>
      <c r="AC231" s="95"/>
      <c r="AD231" s="95"/>
      <c r="AE231" s="95"/>
      <c r="AF231" s="95"/>
      <c r="AG231" s="95"/>
      <c r="AH231" s="95"/>
      <c r="AI231" s="95"/>
      <c r="AJ231" s="95"/>
      <c r="AK231" s="95"/>
      <c r="AL231" s="95"/>
      <c r="AM231" s="95"/>
      <c r="AN231" s="95"/>
      <c r="AO231" s="95"/>
      <c r="AP231" s="95"/>
      <c r="AQ231" s="95"/>
      <c r="AR231" s="95"/>
      <c r="AS231" s="95"/>
    </row>
    <row r="232" ht="15.0" customHeight="1">
      <c r="AB232" s="95"/>
      <c r="AC232" s="95"/>
      <c r="AD232" s="95"/>
      <c r="AE232" s="95"/>
      <c r="AF232" s="95"/>
      <c r="AG232" s="95"/>
      <c r="AH232" s="95"/>
      <c r="AI232" s="95"/>
      <c r="AJ232" s="95"/>
      <c r="AK232" s="95"/>
      <c r="AL232" s="95"/>
      <c r="AM232" s="95"/>
      <c r="AN232" s="95"/>
      <c r="AO232" s="95"/>
      <c r="AP232" s="95"/>
      <c r="AQ232" s="95"/>
      <c r="AR232" s="95"/>
      <c r="AS232" s="95"/>
    </row>
    <row r="233" ht="15.0" customHeight="1">
      <c r="AB233" s="95"/>
      <c r="AC233" s="95"/>
      <c r="AD233" s="95"/>
      <c r="AE233" s="95"/>
      <c r="AF233" s="95"/>
      <c r="AG233" s="95"/>
      <c r="AH233" s="95"/>
      <c r="AI233" s="95"/>
      <c r="AJ233" s="95"/>
      <c r="AK233" s="95"/>
      <c r="AL233" s="95"/>
      <c r="AM233" s="95"/>
      <c r="AN233" s="95"/>
      <c r="AO233" s="95"/>
      <c r="AP233" s="95"/>
      <c r="AQ233" s="95"/>
      <c r="AR233" s="95"/>
      <c r="AS233" s="95"/>
    </row>
    <row r="234" ht="15.0" customHeight="1">
      <c r="AB234" s="95"/>
      <c r="AC234" s="95"/>
      <c r="AD234" s="95"/>
      <c r="AE234" s="95"/>
      <c r="AF234" s="95"/>
      <c r="AG234" s="95"/>
      <c r="AH234" s="95"/>
      <c r="AI234" s="95"/>
      <c r="AJ234" s="95"/>
      <c r="AK234" s="95"/>
      <c r="AL234" s="95"/>
      <c r="AM234" s="95"/>
      <c r="AN234" s="95"/>
      <c r="AO234" s="95"/>
      <c r="AP234" s="95"/>
      <c r="AQ234" s="95"/>
      <c r="AR234" s="95"/>
      <c r="AS234" s="95"/>
    </row>
    <row r="235" ht="15.0" customHeight="1">
      <c r="AB235" s="95"/>
      <c r="AC235" s="95"/>
      <c r="AD235" s="95"/>
      <c r="AE235" s="95"/>
      <c r="AF235" s="95"/>
      <c r="AG235" s="95"/>
      <c r="AH235" s="95"/>
      <c r="AI235" s="95"/>
      <c r="AJ235" s="95"/>
      <c r="AK235" s="95"/>
      <c r="AL235" s="95"/>
      <c r="AM235" s="95"/>
      <c r="AN235" s="95"/>
      <c r="AO235" s="95"/>
      <c r="AP235" s="95"/>
      <c r="AQ235" s="95"/>
      <c r="AR235" s="95"/>
      <c r="AS235" s="95"/>
    </row>
    <row r="236" ht="15.0" customHeight="1">
      <c r="AB236" s="95"/>
      <c r="AC236" s="95"/>
      <c r="AD236" s="95"/>
      <c r="AE236" s="95"/>
      <c r="AF236" s="95"/>
      <c r="AG236" s="95"/>
      <c r="AH236" s="95"/>
      <c r="AI236" s="95"/>
      <c r="AJ236" s="95"/>
      <c r="AK236" s="95"/>
      <c r="AL236" s="95"/>
      <c r="AM236" s="95"/>
      <c r="AN236" s="95"/>
      <c r="AO236" s="95"/>
      <c r="AP236" s="95"/>
      <c r="AQ236" s="95"/>
      <c r="AR236" s="95"/>
      <c r="AS236" s="95"/>
    </row>
    <row r="237" ht="15.0" customHeight="1">
      <c r="AB237" s="95"/>
      <c r="AC237" s="95"/>
      <c r="AD237" s="95"/>
      <c r="AE237" s="95"/>
      <c r="AF237" s="95"/>
      <c r="AG237" s="95"/>
      <c r="AH237" s="95"/>
      <c r="AI237" s="95"/>
      <c r="AJ237" s="95"/>
      <c r="AK237" s="95"/>
      <c r="AL237" s="95"/>
      <c r="AM237" s="95"/>
      <c r="AN237" s="95"/>
      <c r="AO237" s="95"/>
      <c r="AP237" s="95"/>
      <c r="AQ237" s="95"/>
      <c r="AR237" s="95"/>
      <c r="AS237" s="95"/>
    </row>
    <row r="238" ht="15.0" customHeight="1">
      <c r="AB238" s="95"/>
      <c r="AC238" s="95"/>
      <c r="AD238" s="95"/>
      <c r="AE238" s="95"/>
      <c r="AF238" s="95"/>
      <c r="AG238" s="95"/>
      <c r="AH238" s="95"/>
      <c r="AI238" s="95"/>
      <c r="AJ238" s="95"/>
      <c r="AK238" s="95"/>
      <c r="AL238" s="95"/>
      <c r="AM238" s="95"/>
      <c r="AN238" s="95"/>
      <c r="AO238" s="95"/>
      <c r="AP238" s="95"/>
      <c r="AQ238" s="95"/>
      <c r="AR238" s="95"/>
      <c r="AS238" s="95"/>
    </row>
    <row r="239" ht="15.0" customHeight="1">
      <c r="AB239" s="95"/>
      <c r="AC239" s="95"/>
      <c r="AD239" s="95"/>
      <c r="AE239" s="95"/>
      <c r="AF239" s="95"/>
      <c r="AG239" s="95"/>
      <c r="AH239" s="95"/>
      <c r="AI239" s="95"/>
      <c r="AJ239" s="95"/>
      <c r="AK239" s="95"/>
      <c r="AL239" s="95"/>
      <c r="AM239" s="95"/>
      <c r="AN239" s="95"/>
      <c r="AO239" s="95"/>
      <c r="AP239" s="95"/>
      <c r="AQ239" s="95"/>
      <c r="AR239" s="95"/>
      <c r="AS239" s="95"/>
    </row>
    <row r="240" ht="15.0" customHeight="1">
      <c r="AB240" s="95"/>
      <c r="AC240" s="95"/>
      <c r="AD240" s="95"/>
      <c r="AE240" s="95"/>
      <c r="AF240" s="95"/>
      <c r="AG240" s="95"/>
      <c r="AH240" s="95"/>
      <c r="AI240" s="95"/>
      <c r="AJ240" s="95"/>
      <c r="AK240" s="95"/>
      <c r="AL240" s="95"/>
      <c r="AM240" s="95"/>
      <c r="AN240" s="95"/>
      <c r="AO240" s="95"/>
      <c r="AP240" s="95"/>
      <c r="AQ240" s="95"/>
      <c r="AR240" s="95"/>
      <c r="AS240" s="95"/>
    </row>
    <row r="241" ht="15.0" customHeight="1">
      <c r="AB241" s="95"/>
      <c r="AC241" s="95"/>
      <c r="AD241" s="95"/>
      <c r="AE241" s="95"/>
      <c r="AF241" s="95"/>
      <c r="AG241" s="95"/>
      <c r="AH241" s="95"/>
      <c r="AI241" s="95"/>
      <c r="AJ241" s="95"/>
      <c r="AK241" s="95"/>
      <c r="AL241" s="95"/>
      <c r="AM241" s="95"/>
      <c r="AN241" s="95"/>
      <c r="AO241" s="95"/>
      <c r="AP241" s="95"/>
      <c r="AQ241" s="95"/>
      <c r="AR241" s="95"/>
      <c r="AS241" s="95"/>
    </row>
    <row r="242" ht="15.0" customHeight="1">
      <c r="AB242" s="95"/>
      <c r="AC242" s="95"/>
      <c r="AD242" s="95"/>
      <c r="AE242" s="95"/>
      <c r="AF242" s="95"/>
      <c r="AG242" s="95"/>
      <c r="AH242" s="95"/>
      <c r="AI242" s="95"/>
      <c r="AJ242" s="95"/>
      <c r="AK242" s="95"/>
      <c r="AL242" s="95"/>
      <c r="AM242" s="95"/>
      <c r="AN242" s="95"/>
      <c r="AO242" s="95"/>
      <c r="AP242" s="95"/>
      <c r="AQ242" s="95"/>
      <c r="AR242" s="95"/>
      <c r="AS242" s="95"/>
    </row>
    <row r="243" ht="15.0" customHeight="1">
      <c r="AB243" s="95"/>
      <c r="AC243" s="95"/>
      <c r="AD243" s="95"/>
      <c r="AE243" s="95"/>
      <c r="AF243" s="95"/>
      <c r="AG243" s="95"/>
      <c r="AH243" s="95"/>
      <c r="AI243" s="95"/>
      <c r="AJ243" s="95"/>
      <c r="AK243" s="95"/>
      <c r="AL243" s="95"/>
      <c r="AM243" s="95"/>
      <c r="AN243" s="95"/>
      <c r="AO243" s="95"/>
      <c r="AP243" s="95"/>
      <c r="AQ243" s="95"/>
      <c r="AR243" s="95"/>
      <c r="AS243" s="95"/>
    </row>
    <row r="244" ht="15.0" customHeight="1">
      <c r="AB244" s="95"/>
      <c r="AC244" s="95"/>
      <c r="AD244" s="95"/>
      <c r="AE244" s="95"/>
      <c r="AF244" s="95"/>
      <c r="AG244" s="95"/>
      <c r="AH244" s="95"/>
      <c r="AI244" s="95"/>
      <c r="AJ244" s="95"/>
      <c r="AK244" s="95"/>
      <c r="AL244" s="95"/>
      <c r="AM244" s="95"/>
      <c r="AN244" s="95"/>
      <c r="AO244" s="95"/>
      <c r="AP244" s="95"/>
      <c r="AQ244" s="95"/>
      <c r="AR244" s="95"/>
      <c r="AS244" s="95"/>
    </row>
    <row r="245" ht="15.0" customHeight="1">
      <c r="AB245" s="95"/>
      <c r="AC245" s="95"/>
      <c r="AD245" s="95"/>
      <c r="AE245" s="95"/>
      <c r="AF245" s="95"/>
      <c r="AG245" s="95"/>
      <c r="AH245" s="95"/>
      <c r="AI245" s="95"/>
      <c r="AJ245" s="95"/>
      <c r="AK245" s="95"/>
      <c r="AL245" s="95"/>
      <c r="AM245" s="95"/>
      <c r="AN245" s="95"/>
      <c r="AO245" s="95"/>
      <c r="AP245" s="95"/>
      <c r="AQ245" s="95"/>
      <c r="AR245" s="95"/>
      <c r="AS245" s="95"/>
    </row>
    <row r="246" ht="15.0" customHeight="1">
      <c r="AB246" s="95"/>
      <c r="AC246" s="95"/>
      <c r="AD246" s="95"/>
      <c r="AE246" s="95"/>
      <c r="AF246" s="95"/>
      <c r="AG246" s="95"/>
      <c r="AH246" s="95"/>
      <c r="AI246" s="95"/>
      <c r="AJ246" s="95"/>
      <c r="AK246" s="95"/>
      <c r="AL246" s="95"/>
      <c r="AM246" s="95"/>
      <c r="AN246" s="95"/>
      <c r="AO246" s="95"/>
      <c r="AP246" s="95"/>
      <c r="AQ246" s="95"/>
      <c r="AR246" s="95"/>
      <c r="AS246" s="95"/>
    </row>
    <row r="247" ht="15.0" customHeight="1">
      <c r="AB247" s="95"/>
      <c r="AC247" s="95"/>
      <c r="AD247" s="95"/>
      <c r="AE247" s="95"/>
      <c r="AF247" s="95"/>
      <c r="AG247" s="95"/>
      <c r="AH247" s="95"/>
      <c r="AI247" s="95"/>
      <c r="AJ247" s="95"/>
      <c r="AK247" s="95"/>
      <c r="AL247" s="95"/>
      <c r="AM247" s="95"/>
      <c r="AN247" s="95"/>
      <c r="AO247" s="95"/>
      <c r="AP247" s="95"/>
      <c r="AQ247" s="95"/>
      <c r="AR247" s="95"/>
      <c r="AS247" s="95"/>
    </row>
    <row r="248" ht="15.0" customHeight="1">
      <c r="AB248" s="95"/>
      <c r="AC248" s="95"/>
      <c r="AD248" s="95"/>
      <c r="AE248" s="95"/>
      <c r="AF248" s="95"/>
      <c r="AG248" s="95"/>
      <c r="AH248" s="95"/>
      <c r="AI248" s="95"/>
      <c r="AJ248" s="95"/>
      <c r="AK248" s="95"/>
      <c r="AL248" s="95"/>
      <c r="AM248" s="95"/>
      <c r="AN248" s="95"/>
      <c r="AO248" s="95"/>
      <c r="AP248" s="95"/>
      <c r="AQ248" s="95"/>
      <c r="AR248" s="95"/>
      <c r="AS248" s="95"/>
    </row>
    <row r="249" ht="15.0" customHeight="1">
      <c r="AB249" s="95"/>
      <c r="AC249" s="95"/>
      <c r="AD249" s="95"/>
      <c r="AE249" s="95"/>
      <c r="AF249" s="95"/>
      <c r="AG249" s="95"/>
      <c r="AH249" s="95"/>
      <c r="AI249" s="95"/>
      <c r="AJ249" s="95"/>
      <c r="AK249" s="95"/>
      <c r="AL249" s="95"/>
      <c r="AM249" s="95"/>
      <c r="AN249" s="95"/>
      <c r="AO249" s="95"/>
      <c r="AP249" s="95"/>
      <c r="AQ249" s="95"/>
      <c r="AR249" s="95"/>
      <c r="AS249" s="95"/>
    </row>
    <row r="250" ht="15.0" customHeight="1">
      <c r="AB250" s="95"/>
      <c r="AC250" s="95"/>
      <c r="AD250" s="95"/>
      <c r="AE250" s="95"/>
      <c r="AF250" s="95"/>
      <c r="AG250" s="95"/>
      <c r="AH250" s="95"/>
      <c r="AI250" s="95"/>
      <c r="AJ250" s="95"/>
      <c r="AK250" s="95"/>
      <c r="AL250" s="95"/>
      <c r="AM250" s="95"/>
      <c r="AN250" s="95"/>
      <c r="AO250" s="95"/>
      <c r="AP250" s="95"/>
      <c r="AQ250" s="95"/>
      <c r="AR250" s="95"/>
      <c r="AS250" s="95"/>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32">
    <mergeCell ref="J42:L42"/>
    <mergeCell ref="M42:O42"/>
    <mergeCell ref="P42:R42"/>
    <mergeCell ref="S42:U42"/>
    <mergeCell ref="V32:X32"/>
    <mergeCell ref="Y32:AA32"/>
    <mergeCell ref="V33:X33"/>
    <mergeCell ref="Y33:AA33"/>
    <mergeCell ref="A41:F42"/>
    <mergeCell ref="G41:AA41"/>
    <mergeCell ref="G42:I42"/>
    <mergeCell ref="V42:X42"/>
    <mergeCell ref="A1:F2"/>
    <mergeCell ref="G1:AA1"/>
    <mergeCell ref="G2:I2"/>
    <mergeCell ref="J2:L2"/>
    <mergeCell ref="M2:O2"/>
    <mergeCell ref="P2:R2"/>
    <mergeCell ref="S2:U2"/>
    <mergeCell ref="V2:X2"/>
    <mergeCell ref="V3:X3"/>
    <mergeCell ref="Y3:AA3"/>
    <mergeCell ref="V4:X4"/>
    <mergeCell ref="Y4:AA4"/>
    <mergeCell ref="V5:X5"/>
    <mergeCell ref="Y5:AA5"/>
    <mergeCell ref="V6:X6"/>
    <mergeCell ref="Y6:AA6"/>
    <mergeCell ref="V7:X7"/>
    <mergeCell ref="Y7:AA7"/>
    <mergeCell ref="V9:X9"/>
    <mergeCell ref="Y9:AA9"/>
    <mergeCell ref="Y10:AA10"/>
    <mergeCell ref="V10:X10"/>
    <mergeCell ref="V11:X11"/>
    <mergeCell ref="V12:X12"/>
    <mergeCell ref="V13:X13"/>
    <mergeCell ref="V14:X14"/>
    <mergeCell ref="V16:X16"/>
    <mergeCell ref="V17:X17"/>
    <mergeCell ref="Y11:AA11"/>
    <mergeCell ref="Y12:AA12"/>
    <mergeCell ref="Y13:AA13"/>
    <mergeCell ref="Y14:AA14"/>
    <mergeCell ref="Y16:AA16"/>
    <mergeCell ref="Y17:AA17"/>
    <mergeCell ref="Y18:AA18"/>
    <mergeCell ref="V18:X18"/>
    <mergeCell ref="V19:X19"/>
    <mergeCell ref="V20:X20"/>
    <mergeCell ref="V21:X21"/>
    <mergeCell ref="V22:X22"/>
    <mergeCell ref="V23:X23"/>
    <mergeCell ref="V26:X26"/>
    <mergeCell ref="V27:X27"/>
    <mergeCell ref="V28:X28"/>
    <mergeCell ref="V29:X29"/>
    <mergeCell ref="V30:X30"/>
    <mergeCell ref="Y30:AA30"/>
    <mergeCell ref="V31:X31"/>
    <mergeCell ref="Y31:AA31"/>
    <mergeCell ref="V71:X71"/>
    <mergeCell ref="V72:X72"/>
    <mergeCell ref="V73:X73"/>
    <mergeCell ref="V74:X74"/>
    <mergeCell ref="V75:X75"/>
    <mergeCell ref="V76:X76"/>
    <mergeCell ref="V79:X79"/>
    <mergeCell ref="V86:X86"/>
    <mergeCell ref="V63:X63"/>
    <mergeCell ref="V64:X64"/>
    <mergeCell ref="V65:X65"/>
    <mergeCell ref="V66:X66"/>
    <mergeCell ref="V67:X67"/>
    <mergeCell ref="V68:X68"/>
    <mergeCell ref="V70:X70"/>
    <mergeCell ref="Y19:AA19"/>
    <mergeCell ref="Y20:AA20"/>
    <mergeCell ref="Y21:AA21"/>
    <mergeCell ref="Y22:AA22"/>
    <mergeCell ref="Y23:AA23"/>
    <mergeCell ref="Y26:AA26"/>
    <mergeCell ref="Y27:AA27"/>
    <mergeCell ref="Y28:AA28"/>
    <mergeCell ref="Y29:AA29"/>
    <mergeCell ref="V40:X40"/>
    <mergeCell ref="Y40:AA40"/>
    <mergeCell ref="V43:X43"/>
    <mergeCell ref="Y43:AA43"/>
    <mergeCell ref="Y44:AA44"/>
    <mergeCell ref="V44:X44"/>
    <mergeCell ref="V45:X45"/>
    <mergeCell ref="V46:X46"/>
    <mergeCell ref="V47:X47"/>
    <mergeCell ref="V51:X51"/>
    <mergeCell ref="V52:X52"/>
    <mergeCell ref="V53:X53"/>
    <mergeCell ref="Y45:AA45"/>
    <mergeCell ref="Y46:AA46"/>
    <mergeCell ref="Y47:AA47"/>
    <mergeCell ref="Y51:AA51"/>
    <mergeCell ref="Y52:AA52"/>
    <mergeCell ref="Y53:AA53"/>
    <mergeCell ref="Y54:AA54"/>
    <mergeCell ref="V54:X54"/>
    <mergeCell ref="V55:X55"/>
    <mergeCell ref="V56:X56"/>
    <mergeCell ref="V59:X59"/>
    <mergeCell ref="V60:X60"/>
    <mergeCell ref="V61:X61"/>
    <mergeCell ref="V62:X62"/>
    <mergeCell ref="Y55:AA55"/>
    <mergeCell ref="Y56:AA56"/>
    <mergeCell ref="Y59:AA59"/>
    <mergeCell ref="Y60:AA60"/>
    <mergeCell ref="Y61:AA61"/>
    <mergeCell ref="Y62:AA62"/>
    <mergeCell ref="Y63:AA63"/>
    <mergeCell ref="Y72:AA72"/>
    <mergeCell ref="Y73:AA73"/>
    <mergeCell ref="Y74:AA74"/>
    <mergeCell ref="Y75:AA75"/>
    <mergeCell ref="Y76:AA76"/>
    <mergeCell ref="Y79:AA79"/>
    <mergeCell ref="Y86:AA86"/>
    <mergeCell ref="Y64:AA64"/>
    <mergeCell ref="Y65:AA65"/>
    <mergeCell ref="Y66:AA66"/>
    <mergeCell ref="Y67:AA67"/>
    <mergeCell ref="Y68:AA68"/>
    <mergeCell ref="Y70:AA70"/>
    <mergeCell ref="Y71:AA71"/>
  </mergeCells>
  <printOptions/>
  <pageMargins bottom="0.75" footer="0.0" header="0.0" left="0.7" right="0.7" top="0.75"/>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1" width="8.88"/>
    <col customWidth="1" min="12" max="12" width="24.38"/>
    <col customWidth="1" min="13" max="26" width="14.38"/>
  </cols>
  <sheetData>
    <row r="1" ht="16.5" customHeight="1">
      <c r="A1" s="180" t="s">
        <v>161</v>
      </c>
      <c r="B1" s="93"/>
      <c r="C1" s="93"/>
      <c r="D1" s="93"/>
      <c r="E1" s="93"/>
      <c r="F1" s="93"/>
      <c r="G1" s="93"/>
      <c r="H1" s="93"/>
      <c r="I1" s="93"/>
      <c r="J1" s="93"/>
      <c r="K1" s="93"/>
      <c r="L1" s="94"/>
    </row>
    <row r="2" ht="15.75" customHeight="1">
      <c r="A2" s="181" t="s">
        <v>162</v>
      </c>
      <c r="B2" s="12"/>
      <c r="C2" s="12"/>
      <c r="D2" s="12"/>
      <c r="E2" s="12"/>
      <c r="F2" s="12"/>
      <c r="G2" s="12"/>
      <c r="H2" s="12"/>
      <c r="I2" s="12"/>
      <c r="J2" s="12"/>
      <c r="K2" s="12"/>
      <c r="L2" s="13"/>
    </row>
    <row r="3" ht="15.75" customHeight="1">
      <c r="A3" s="182" t="s">
        <v>163</v>
      </c>
      <c r="B3" s="128"/>
      <c r="C3" s="128"/>
      <c r="D3" s="128"/>
      <c r="E3" s="128"/>
      <c r="F3" s="128"/>
      <c r="G3" s="128"/>
      <c r="H3" s="128"/>
      <c r="I3" s="128"/>
      <c r="J3" s="128"/>
      <c r="K3" s="128"/>
      <c r="L3" s="129"/>
    </row>
    <row r="4" ht="15.75" customHeight="1">
      <c r="A4" s="182" t="s">
        <v>164</v>
      </c>
      <c r="B4" s="128"/>
      <c r="C4" s="128"/>
      <c r="D4" s="128"/>
      <c r="E4" s="128"/>
      <c r="F4" s="128"/>
      <c r="G4" s="128"/>
      <c r="H4" s="128"/>
      <c r="I4" s="128"/>
      <c r="J4" s="128"/>
      <c r="K4" s="128"/>
      <c r="L4" s="129"/>
    </row>
    <row r="5" ht="15.75" customHeight="1">
      <c r="A5" s="127"/>
      <c r="B5" s="128"/>
      <c r="C5" s="128"/>
      <c r="D5" s="128"/>
      <c r="E5" s="128"/>
      <c r="F5" s="128"/>
      <c r="G5" s="128"/>
      <c r="H5" s="128"/>
      <c r="I5" s="128"/>
      <c r="J5" s="128"/>
      <c r="K5" s="128"/>
      <c r="L5" s="129"/>
    </row>
    <row r="6" ht="16.5" customHeight="1">
      <c r="A6" s="183"/>
      <c r="B6" s="184"/>
      <c r="C6" s="184"/>
      <c r="D6" s="184"/>
      <c r="E6" s="184"/>
      <c r="F6" s="184"/>
      <c r="G6" s="184"/>
      <c r="H6" s="184"/>
      <c r="I6" s="184"/>
      <c r="J6" s="184"/>
      <c r="K6" s="184"/>
      <c r="L6" s="185"/>
    </row>
    <row r="7" ht="9.0" customHeight="1">
      <c r="A7" s="186" t="s">
        <v>165</v>
      </c>
      <c r="B7" s="70"/>
      <c r="C7" s="70"/>
      <c r="D7" s="70"/>
      <c r="E7" s="70"/>
      <c r="F7" s="70"/>
      <c r="G7" s="70"/>
      <c r="H7" s="70"/>
      <c r="I7" s="70"/>
      <c r="J7" s="70"/>
      <c r="K7" s="70"/>
      <c r="L7" s="187"/>
    </row>
    <row r="8" ht="15.75" customHeight="1">
      <c r="A8" s="188"/>
      <c r="B8" s="97"/>
      <c r="C8" s="97"/>
      <c r="D8" s="97"/>
      <c r="E8" s="97"/>
      <c r="F8" s="97"/>
      <c r="G8" s="97"/>
      <c r="H8" s="97"/>
      <c r="I8" s="97"/>
      <c r="J8" s="97"/>
      <c r="K8" s="97"/>
      <c r="L8" s="189"/>
    </row>
    <row r="9" ht="16.5" customHeight="1">
      <c r="A9" s="180" t="s">
        <v>166</v>
      </c>
      <c r="B9" s="93"/>
      <c r="C9" s="93"/>
      <c r="D9" s="94"/>
      <c r="E9" s="180" t="s">
        <v>11</v>
      </c>
      <c r="F9" s="94"/>
      <c r="G9" s="180" t="s">
        <v>69</v>
      </c>
      <c r="H9" s="93"/>
      <c r="I9" s="93"/>
      <c r="J9" s="93"/>
      <c r="K9" s="93"/>
      <c r="L9" s="94"/>
    </row>
    <row r="10" ht="15.75" customHeight="1">
      <c r="A10" s="190" t="s">
        <v>167</v>
      </c>
      <c r="B10" s="191"/>
      <c r="C10" s="191"/>
      <c r="D10" s="192"/>
      <c r="E10" s="193">
        <v>10.0</v>
      </c>
      <c r="F10" s="192"/>
      <c r="G10" s="190" t="s">
        <v>168</v>
      </c>
      <c r="H10" s="191"/>
      <c r="I10" s="191"/>
      <c r="J10" s="191"/>
      <c r="K10" s="191"/>
      <c r="L10" s="192"/>
    </row>
    <row r="11" ht="15.75" customHeight="1">
      <c r="A11" s="194" t="s">
        <v>169</v>
      </c>
      <c r="B11" s="5"/>
      <c r="C11" s="5"/>
      <c r="D11" s="195"/>
      <c r="E11" s="196">
        <v>10.0</v>
      </c>
      <c r="F11" s="195"/>
      <c r="G11" s="194" t="s">
        <v>168</v>
      </c>
      <c r="H11" s="5"/>
      <c r="I11" s="5"/>
      <c r="J11" s="5"/>
      <c r="K11" s="5"/>
      <c r="L11" s="195"/>
    </row>
    <row r="12" ht="15.75" customHeight="1">
      <c r="A12" s="194" t="s">
        <v>170</v>
      </c>
      <c r="B12" s="5"/>
      <c r="C12" s="5"/>
      <c r="D12" s="195"/>
      <c r="E12" s="196">
        <v>10.0</v>
      </c>
      <c r="F12" s="195"/>
      <c r="G12" s="194" t="s">
        <v>171</v>
      </c>
      <c r="H12" s="5"/>
      <c r="I12" s="5"/>
      <c r="J12" s="5"/>
      <c r="K12" s="5"/>
      <c r="L12" s="195"/>
    </row>
    <row r="13" ht="15.75" customHeight="1">
      <c r="A13" s="194" t="s">
        <v>172</v>
      </c>
      <c r="B13" s="5"/>
      <c r="C13" s="5"/>
      <c r="D13" s="195"/>
      <c r="E13" s="196">
        <v>10.0</v>
      </c>
      <c r="F13" s="195"/>
      <c r="G13" s="194" t="s">
        <v>171</v>
      </c>
      <c r="H13" s="5"/>
      <c r="I13" s="5"/>
      <c r="J13" s="5"/>
      <c r="K13" s="5"/>
      <c r="L13" s="195"/>
    </row>
    <row r="14" ht="15.75" customHeight="1">
      <c r="A14" s="194" t="s">
        <v>173</v>
      </c>
      <c r="B14" s="5"/>
      <c r="C14" s="5"/>
      <c r="D14" s="195"/>
      <c r="E14" s="196">
        <v>10.0</v>
      </c>
      <c r="F14" s="195"/>
      <c r="G14" s="194" t="s">
        <v>171</v>
      </c>
      <c r="H14" s="5"/>
      <c r="I14" s="5"/>
      <c r="J14" s="5"/>
      <c r="K14" s="5"/>
      <c r="L14" s="195"/>
    </row>
    <row r="15" ht="15.75" customHeight="1">
      <c r="A15" s="194" t="s">
        <v>174</v>
      </c>
      <c r="B15" s="5"/>
      <c r="C15" s="5"/>
      <c r="D15" s="195"/>
      <c r="E15" s="196">
        <v>10.0</v>
      </c>
      <c r="F15" s="195"/>
      <c r="G15" s="194" t="s">
        <v>175</v>
      </c>
      <c r="H15" s="5"/>
      <c r="I15" s="5"/>
      <c r="J15" s="5"/>
      <c r="K15" s="5"/>
      <c r="L15" s="195"/>
    </row>
    <row r="16" ht="15.75" customHeight="1">
      <c r="A16" s="194" t="s">
        <v>176</v>
      </c>
      <c r="B16" s="5"/>
      <c r="C16" s="5"/>
      <c r="D16" s="195"/>
      <c r="E16" s="196">
        <v>10.0</v>
      </c>
      <c r="F16" s="195"/>
      <c r="G16" s="194" t="s">
        <v>177</v>
      </c>
      <c r="H16" s="5"/>
      <c r="I16" s="5"/>
      <c r="J16" s="5"/>
      <c r="K16" s="5"/>
      <c r="L16" s="195"/>
    </row>
    <row r="17" ht="15.75" customHeight="1">
      <c r="A17" s="194" t="s">
        <v>178</v>
      </c>
      <c r="B17" s="5"/>
      <c r="C17" s="5"/>
      <c r="D17" s="195"/>
      <c r="E17" s="196">
        <v>10.0</v>
      </c>
      <c r="F17" s="195"/>
      <c r="G17" s="194" t="s">
        <v>179</v>
      </c>
      <c r="H17" s="5"/>
      <c r="I17" s="5"/>
      <c r="J17" s="5"/>
      <c r="K17" s="5"/>
      <c r="L17" s="195"/>
    </row>
    <row r="18" ht="16.5" customHeight="1">
      <c r="A18" s="197" t="s">
        <v>180</v>
      </c>
      <c r="B18" s="198"/>
      <c r="C18" s="198"/>
      <c r="D18" s="199"/>
      <c r="E18" s="200">
        <v>10.0</v>
      </c>
      <c r="F18" s="199"/>
      <c r="G18" s="197" t="s">
        <v>181</v>
      </c>
      <c r="H18" s="198"/>
      <c r="I18" s="198"/>
      <c r="J18" s="198"/>
      <c r="K18" s="198"/>
      <c r="L18" s="199"/>
    </row>
    <row r="19" ht="16.5" customHeight="1">
      <c r="A19" s="180" t="s">
        <v>69</v>
      </c>
      <c r="B19" s="93"/>
      <c r="C19" s="93"/>
      <c r="D19" s="93"/>
      <c r="E19" s="93"/>
      <c r="F19" s="93"/>
      <c r="G19" s="93"/>
      <c r="H19" s="93"/>
      <c r="I19" s="93"/>
      <c r="J19" s="93"/>
      <c r="K19" s="93"/>
      <c r="L19" s="94"/>
    </row>
    <row r="20" ht="15.75" customHeight="1">
      <c r="A20" s="181" t="s">
        <v>182</v>
      </c>
      <c r="B20" s="12"/>
      <c r="C20" s="12"/>
      <c r="D20" s="12"/>
      <c r="E20" s="12"/>
      <c r="F20" s="12"/>
      <c r="G20" s="12"/>
      <c r="H20" s="12"/>
      <c r="I20" s="12"/>
      <c r="J20" s="12"/>
      <c r="K20" s="12"/>
      <c r="L20" s="13"/>
    </row>
    <row r="21" ht="15.75" customHeight="1">
      <c r="A21" s="182" t="s">
        <v>183</v>
      </c>
      <c r="B21" s="128"/>
      <c r="C21" s="128"/>
      <c r="D21" s="128"/>
      <c r="E21" s="128"/>
      <c r="F21" s="128"/>
      <c r="G21" s="128"/>
      <c r="H21" s="128"/>
      <c r="I21" s="128"/>
      <c r="J21" s="128"/>
      <c r="K21" s="128"/>
      <c r="L21" s="129"/>
    </row>
    <row r="22" ht="16.5" customHeight="1">
      <c r="A22" s="183"/>
      <c r="B22" s="184"/>
      <c r="C22" s="184"/>
      <c r="D22" s="184"/>
      <c r="E22" s="184"/>
      <c r="F22" s="184"/>
      <c r="G22" s="184"/>
      <c r="H22" s="184"/>
      <c r="I22" s="184"/>
      <c r="J22" s="184"/>
      <c r="K22" s="184"/>
      <c r="L22" s="185"/>
    </row>
    <row r="23" ht="9.0" customHeight="1">
      <c r="A23" s="186" t="s">
        <v>184</v>
      </c>
      <c r="B23" s="70"/>
      <c r="C23" s="70"/>
      <c r="D23" s="70"/>
      <c r="E23" s="70"/>
      <c r="F23" s="70"/>
      <c r="G23" s="70"/>
      <c r="H23" s="70"/>
      <c r="I23" s="70"/>
      <c r="J23" s="70"/>
      <c r="K23" s="70"/>
      <c r="L23" s="187"/>
    </row>
    <row r="24" ht="15.75" customHeight="1">
      <c r="A24" s="188"/>
      <c r="B24" s="97"/>
      <c r="C24" s="97"/>
      <c r="D24" s="97"/>
      <c r="E24" s="97"/>
      <c r="F24" s="97"/>
      <c r="G24" s="97"/>
      <c r="H24" s="97"/>
      <c r="I24" s="97"/>
      <c r="J24" s="97"/>
      <c r="K24" s="97"/>
      <c r="L24" s="189"/>
    </row>
    <row r="25" ht="9.0" customHeight="1">
      <c r="A25" s="201" t="s">
        <v>185</v>
      </c>
      <c r="B25" s="70"/>
      <c r="C25" s="70"/>
      <c r="D25" s="70"/>
      <c r="E25" s="70"/>
      <c r="F25" s="70"/>
      <c r="G25" s="71"/>
      <c r="H25" s="201" t="s">
        <v>186</v>
      </c>
      <c r="I25" s="70"/>
      <c r="J25" s="70"/>
      <c r="K25" s="70"/>
      <c r="L25" s="71"/>
    </row>
    <row r="26" ht="15.75" customHeight="1">
      <c r="A26" s="96"/>
      <c r="B26" s="97"/>
      <c r="C26" s="97"/>
      <c r="D26" s="97"/>
      <c r="E26" s="97"/>
      <c r="F26" s="97"/>
      <c r="G26" s="98"/>
      <c r="H26" s="96"/>
      <c r="I26" s="97"/>
      <c r="J26" s="97"/>
      <c r="K26" s="97"/>
      <c r="L26" s="98"/>
    </row>
    <row r="27" ht="9.0" customHeight="1">
      <c r="A27" s="202" t="s">
        <v>187</v>
      </c>
      <c r="B27" s="71"/>
      <c r="C27" s="202" t="s">
        <v>188</v>
      </c>
      <c r="D27" s="71"/>
      <c r="E27" s="202" t="s">
        <v>189</v>
      </c>
      <c r="F27" s="70"/>
      <c r="G27" s="71"/>
      <c r="H27" s="202" t="s">
        <v>187</v>
      </c>
      <c r="I27" s="71"/>
      <c r="J27" s="202" t="s">
        <v>188</v>
      </c>
      <c r="K27" s="71"/>
      <c r="L27" s="203" t="s">
        <v>189</v>
      </c>
    </row>
    <row r="28" ht="15.75" customHeight="1">
      <c r="A28" s="96"/>
      <c r="B28" s="98"/>
      <c r="C28" s="96"/>
      <c r="D28" s="98"/>
      <c r="E28" s="96"/>
      <c r="F28" s="97"/>
      <c r="G28" s="98"/>
      <c r="H28" s="96"/>
      <c r="I28" s="98"/>
      <c r="J28" s="96"/>
      <c r="K28" s="98"/>
      <c r="L28" s="204"/>
    </row>
    <row r="29" ht="9.0" customHeight="1">
      <c r="A29" s="202" t="s">
        <v>1</v>
      </c>
      <c r="B29" s="71"/>
      <c r="C29" s="205">
        <v>5.0</v>
      </c>
      <c r="D29" s="71"/>
      <c r="E29" s="202" t="s">
        <v>190</v>
      </c>
      <c r="F29" s="70"/>
      <c r="G29" s="71"/>
      <c r="H29" s="202" t="s">
        <v>1</v>
      </c>
      <c r="I29" s="71"/>
      <c r="J29" s="205">
        <v>8.0</v>
      </c>
      <c r="K29" s="71"/>
      <c r="L29" s="203" t="s">
        <v>190</v>
      </c>
    </row>
    <row r="30" ht="8.25" customHeight="1">
      <c r="A30" s="206"/>
      <c r="B30" s="207"/>
      <c r="C30" s="206"/>
      <c r="D30" s="207"/>
      <c r="E30" s="206"/>
      <c r="F30" s="8"/>
      <c r="G30" s="207"/>
      <c r="H30" s="206"/>
      <c r="I30" s="207"/>
      <c r="J30" s="206"/>
      <c r="K30" s="207"/>
      <c r="L30" s="208"/>
    </row>
    <row r="31" ht="8.25" customHeight="1">
      <c r="A31" s="209" t="s">
        <v>2</v>
      </c>
      <c r="B31" s="210"/>
      <c r="C31" s="211">
        <v>3.0</v>
      </c>
      <c r="D31" s="210"/>
      <c r="E31" s="209" t="s">
        <v>191</v>
      </c>
      <c r="F31" s="2"/>
      <c r="G31" s="210"/>
      <c r="H31" s="209" t="s">
        <v>192</v>
      </c>
      <c r="I31" s="210"/>
      <c r="J31" s="209" t="s">
        <v>193</v>
      </c>
      <c r="K31" s="210"/>
      <c r="L31" s="212" t="s">
        <v>194</v>
      </c>
    </row>
    <row r="32" ht="8.25" customHeight="1">
      <c r="A32" s="206"/>
      <c r="B32" s="207"/>
      <c r="C32" s="206"/>
      <c r="D32" s="207"/>
      <c r="E32" s="206"/>
      <c r="F32" s="8"/>
      <c r="G32" s="207"/>
      <c r="H32" s="206"/>
      <c r="I32" s="207"/>
      <c r="J32" s="206"/>
      <c r="K32" s="207"/>
      <c r="L32" s="208"/>
    </row>
    <row r="33" ht="8.25" customHeight="1">
      <c r="A33" s="209" t="s">
        <v>3</v>
      </c>
      <c r="B33" s="210"/>
      <c r="C33" s="211">
        <v>1.0</v>
      </c>
      <c r="D33" s="210"/>
      <c r="E33" s="209" t="s">
        <v>195</v>
      </c>
      <c r="F33" s="2"/>
      <c r="G33" s="210"/>
      <c r="H33" s="209" t="s">
        <v>196</v>
      </c>
      <c r="I33" s="210"/>
      <c r="J33" s="209" t="s">
        <v>197</v>
      </c>
      <c r="K33" s="210"/>
      <c r="L33" s="212" t="s">
        <v>197</v>
      </c>
    </row>
    <row r="34" ht="15.75" customHeight="1">
      <c r="A34" s="96"/>
      <c r="B34" s="98"/>
      <c r="C34" s="96"/>
      <c r="D34" s="98"/>
      <c r="E34" s="96"/>
      <c r="F34" s="97"/>
      <c r="G34" s="98"/>
      <c r="H34" s="96"/>
      <c r="I34" s="98"/>
      <c r="J34" s="96"/>
      <c r="K34" s="98"/>
      <c r="L34" s="204"/>
    </row>
    <row r="35" ht="16.5" customHeight="1">
      <c r="A35" s="180" t="s">
        <v>69</v>
      </c>
      <c r="B35" s="93"/>
      <c r="C35" s="93"/>
      <c r="D35" s="93"/>
      <c r="E35" s="93"/>
      <c r="F35" s="93"/>
      <c r="G35" s="94"/>
      <c r="H35" s="180" t="s">
        <v>69</v>
      </c>
      <c r="I35" s="93"/>
      <c r="J35" s="93"/>
      <c r="K35" s="93"/>
      <c r="L35" s="94"/>
    </row>
    <row r="36" ht="15.75" customHeight="1">
      <c r="A36" s="181" t="s">
        <v>198</v>
      </c>
      <c r="B36" s="12"/>
      <c r="C36" s="12"/>
      <c r="D36" s="12"/>
      <c r="E36" s="12"/>
      <c r="F36" s="12"/>
      <c r="G36" s="13"/>
      <c r="H36" s="181" t="s">
        <v>199</v>
      </c>
      <c r="I36" s="12"/>
      <c r="J36" s="12"/>
      <c r="K36" s="12"/>
      <c r="L36" s="13"/>
    </row>
    <row r="37" ht="15.75" customHeight="1">
      <c r="A37" s="127"/>
      <c r="B37" s="128"/>
      <c r="C37" s="128"/>
      <c r="D37" s="128"/>
      <c r="E37" s="128"/>
      <c r="F37" s="128"/>
      <c r="G37" s="129"/>
      <c r="H37" s="127"/>
      <c r="I37" s="128"/>
      <c r="J37" s="128"/>
      <c r="K37" s="128"/>
      <c r="L37" s="129"/>
    </row>
    <row r="38" ht="16.5" customHeight="1">
      <c r="A38" s="183"/>
      <c r="B38" s="184"/>
      <c r="C38" s="184"/>
      <c r="D38" s="184"/>
      <c r="E38" s="184"/>
      <c r="F38" s="184"/>
      <c r="G38" s="185"/>
      <c r="H38" s="183"/>
      <c r="I38" s="184"/>
      <c r="J38" s="184"/>
      <c r="K38" s="184"/>
      <c r="L38" s="185"/>
    </row>
    <row r="39" ht="15.75" customHeight="1">
      <c r="A39" s="95"/>
      <c r="B39" s="95"/>
      <c r="C39" s="95"/>
      <c r="D39" s="95"/>
      <c r="E39" s="95"/>
      <c r="F39" s="95"/>
      <c r="G39" s="95"/>
      <c r="H39" s="95"/>
      <c r="I39" s="95"/>
      <c r="J39" s="95"/>
      <c r="K39" s="95"/>
      <c r="L39" s="95"/>
    </row>
    <row r="40" ht="15.75" customHeight="1">
      <c r="A40" s="95"/>
      <c r="B40" s="95"/>
      <c r="C40" s="95"/>
      <c r="D40" s="95"/>
      <c r="E40" s="95"/>
      <c r="F40" s="95"/>
      <c r="G40" s="95"/>
      <c r="H40" s="95"/>
      <c r="I40" s="95"/>
      <c r="J40" s="95"/>
      <c r="K40" s="95"/>
      <c r="L40" s="95"/>
    </row>
    <row r="41" ht="15.75" customHeight="1">
      <c r="A41" s="95"/>
      <c r="B41" s="95"/>
      <c r="C41" s="95"/>
      <c r="D41" s="95"/>
      <c r="E41" s="95"/>
      <c r="F41" s="95"/>
      <c r="G41" s="95"/>
      <c r="H41" s="95"/>
      <c r="I41" s="95"/>
      <c r="J41" s="95"/>
      <c r="K41" s="95"/>
      <c r="L41" s="95"/>
    </row>
    <row r="42" ht="15.75" customHeight="1">
      <c r="A42" s="95"/>
      <c r="B42" s="95"/>
      <c r="C42" s="95"/>
      <c r="D42" s="95"/>
      <c r="E42" s="95"/>
      <c r="F42" s="95"/>
      <c r="G42" s="95"/>
      <c r="H42" s="95"/>
      <c r="I42" s="95"/>
      <c r="J42" s="95"/>
      <c r="K42" s="95"/>
      <c r="L42" s="95"/>
    </row>
    <row r="43" ht="15.75" customHeight="1">
      <c r="A43" s="95"/>
      <c r="B43" s="95"/>
      <c r="C43" s="95"/>
      <c r="D43" s="95"/>
      <c r="E43" s="95"/>
      <c r="F43" s="95"/>
      <c r="G43" s="95"/>
      <c r="H43" s="95"/>
      <c r="I43" s="95"/>
      <c r="J43" s="95"/>
      <c r="K43" s="95"/>
      <c r="L43" s="95"/>
    </row>
    <row r="44" ht="15.75" customHeight="1">
      <c r="A44" s="95"/>
      <c r="B44" s="95"/>
      <c r="C44" s="95"/>
      <c r="D44" s="95"/>
      <c r="E44" s="95"/>
      <c r="F44" s="95"/>
      <c r="G44" s="95"/>
      <c r="H44" s="95"/>
      <c r="I44" s="95"/>
      <c r="J44" s="95"/>
      <c r="K44" s="95"/>
      <c r="L44" s="95"/>
    </row>
    <row r="45" ht="15.75" customHeight="1">
      <c r="A45" s="95"/>
      <c r="B45" s="95"/>
      <c r="C45" s="95"/>
      <c r="D45" s="95"/>
      <c r="E45" s="95"/>
      <c r="F45" s="95"/>
      <c r="G45" s="95"/>
      <c r="H45" s="95"/>
      <c r="I45" s="95"/>
      <c r="J45" s="95"/>
      <c r="K45" s="95"/>
      <c r="L45" s="95"/>
    </row>
    <row r="46" ht="15.75" customHeight="1">
      <c r="A46" s="95"/>
      <c r="B46" s="95"/>
      <c r="C46" s="95"/>
      <c r="D46" s="95"/>
      <c r="E46" s="95"/>
      <c r="F46" s="95"/>
      <c r="G46" s="95"/>
      <c r="H46" s="95"/>
      <c r="I46" s="95"/>
      <c r="J46" s="95"/>
      <c r="K46" s="95"/>
      <c r="L46" s="95"/>
    </row>
    <row r="47" ht="15.75" customHeight="1">
      <c r="A47" s="95"/>
      <c r="B47" s="95"/>
      <c r="C47" s="95"/>
      <c r="D47" s="95"/>
      <c r="E47" s="95"/>
      <c r="F47" s="95"/>
      <c r="G47" s="95"/>
      <c r="H47" s="95"/>
      <c r="I47" s="95"/>
      <c r="J47" s="95"/>
      <c r="K47" s="95"/>
      <c r="L47" s="95"/>
    </row>
    <row r="48" ht="15.75" customHeight="1">
      <c r="A48" s="95"/>
      <c r="B48" s="95"/>
      <c r="C48" s="95"/>
      <c r="D48" s="95"/>
      <c r="E48" s="95"/>
      <c r="F48" s="95"/>
      <c r="G48" s="95"/>
      <c r="H48" s="95"/>
      <c r="I48" s="95"/>
      <c r="J48" s="95"/>
      <c r="K48" s="95"/>
      <c r="L48" s="95"/>
    </row>
    <row r="49" ht="15.75" customHeight="1">
      <c r="A49" s="95"/>
      <c r="B49" s="95"/>
      <c r="C49" s="95"/>
      <c r="D49" s="95"/>
      <c r="E49" s="95"/>
      <c r="F49" s="95"/>
      <c r="G49" s="95"/>
      <c r="H49" s="95"/>
      <c r="I49" s="95"/>
      <c r="J49" s="95"/>
      <c r="K49" s="95"/>
      <c r="L49" s="95"/>
    </row>
    <row r="50" ht="15.75" customHeight="1">
      <c r="A50" s="95"/>
      <c r="B50" s="95"/>
      <c r="C50" s="95"/>
      <c r="D50" s="95"/>
      <c r="E50" s="95"/>
      <c r="F50" s="95"/>
      <c r="G50" s="95"/>
      <c r="H50" s="95"/>
      <c r="I50" s="95"/>
      <c r="J50" s="95"/>
      <c r="K50" s="95"/>
      <c r="L50" s="95"/>
    </row>
    <row r="51" ht="15.75" customHeight="1">
      <c r="A51" s="95"/>
      <c r="B51" s="95"/>
      <c r="C51" s="95"/>
      <c r="D51" s="95"/>
      <c r="E51" s="95"/>
      <c r="F51" s="95"/>
      <c r="G51" s="95"/>
      <c r="H51" s="95"/>
      <c r="I51" s="95"/>
      <c r="J51" s="95"/>
      <c r="K51" s="95"/>
      <c r="L51" s="95"/>
    </row>
    <row r="52" ht="15.75" customHeight="1">
      <c r="A52" s="95"/>
      <c r="B52" s="95"/>
      <c r="C52" s="95"/>
      <c r="D52" s="95"/>
      <c r="E52" s="95"/>
      <c r="F52" s="95"/>
      <c r="G52" s="95"/>
      <c r="H52" s="95"/>
      <c r="I52" s="95"/>
      <c r="J52" s="95"/>
      <c r="K52" s="95"/>
      <c r="L52" s="95"/>
    </row>
    <row r="53" ht="15.75" customHeight="1">
      <c r="A53" s="95"/>
      <c r="B53" s="95"/>
      <c r="C53" s="95"/>
      <c r="D53" s="95"/>
      <c r="E53" s="95"/>
      <c r="F53" s="95"/>
      <c r="G53" s="95"/>
      <c r="H53" s="95"/>
      <c r="I53" s="95"/>
      <c r="J53" s="95"/>
      <c r="K53" s="95"/>
      <c r="L53" s="95"/>
    </row>
    <row r="54" ht="15.75" customHeight="1">
      <c r="A54" s="95"/>
      <c r="B54" s="95"/>
      <c r="C54" s="95"/>
      <c r="D54" s="95"/>
      <c r="E54" s="95"/>
      <c r="F54" s="95"/>
      <c r="G54" s="95"/>
      <c r="H54" s="95"/>
      <c r="I54" s="95"/>
      <c r="J54" s="95"/>
      <c r="K54" s="95"/>
      <c r="L54" s="95"/>
    </row>
    <row r="55" ht="15.75" customHeight="1">
      <c r="A55" s="95"/>
      <c r="B55" s="95"/>
      <c r="C55" s="95"/>
      <c r="D55" s="95"/>
      <c r="E55" s="95"/>
      <c r="F55" s="95"/>
      <c r="G55" s="95"/>
      <c r="H55" s="95"/>
      <c r="I55" s="95"/>
      <c r="J55" s="95"/>
      <c r="K55" s="95"/>
      <c r="L55" s="95"/>
    </row>
    <row r="56" ht="15.75" customHeight="1">
      <c r="A56" s="95"/>
      <c r="B56" s="95"/>
      <c r="C56" s="95"/>
      <c r="D56" s="95"/>
      <c r="E56" s="95"/>
      <c r="F56" s="95"/>
      <c r="G56" s="95"/>
      <c r="H56" s="95"/>
      <c r="I56" s="95"/>
      <c r="J56" s="95"/>
      <c r="K56" s="95"/>
      <c r="L56" s="95"/>
    </row>
    <row r="57" ht="15.75" customHeight="1">
      <c r="A57" s="95"/>
      <c r="B57" s="95"/>
      <c r="C57" s="95"/>
      <c r="D57" s="95"/>
      <c r="E57" s="95"/>
      <c r="F57" s="95"/>
      <c r="G57" s="95"/>
      <c r="H57" s="95"/>
      <c r="I57" s="95"/>
      <c r="J57" s="95"/>
      <c r="K57" s="95"/>
      <c r="L57" s="95"/>
    </row>
    <row r="58" ht="15.75" customHeight="1">
      <c r="A58" s="95"/>
      <c r="B58" s="95"/>
      <c r="C58" s="95"/>
      <c r="D58" s="95"/>
      <c r="E58" s="95"/>
      <c r="F58" s="95"/>
      <c r="G58" s="95"/>
      <c r="H58" s="95"/>
      <c r="I58" s="95"/>
      <c r="J58" s="95"/>
      <c r="K58" s="95"/>
      <c r="L58" s="95"/>
    </row>
    <row r="59" ht="15.75" customHeight="1">
      <c r="A59" s="95"/>
      <c r="B59" s="95"/>
      <c r="C59" s="95"/>
      <c r="D59" s="95"/>
      <c r="E59" s="95"/>
      <c r="F59" s="95"/>
      <c r="G59" s="95"/>
      <c r="H59" s="95"/>
      <c r="I59" s="95"/>
      <c r="J59" s="95"/>
      <c r="K59" s="95"/>
      <c r="L59" s="95"/>
    </row>
    <row r="60" ht="15.75" customHeight="1">
      <c r="A60" s="95"/>
      <c r="B60" s="95"/>
      <c r="C60" s="95"/>
      <c r="D60" s="95"/>
      <c r="E60" s="95"/>
      <c r="F60" s="95"/>
      <c r="G60" s="95"/>
      <c r="H60" s="95"/>
      <c r="I60" s="95"/>
      <c r="J60" s="95"/>
      <c r="K60" s="95"/>
      <c r="L60" s="95"/>
    </row>
    <row r="61" ht="15.75" customHeight="1">
      <c r="A61" s="95"/>
      <c r="B61" s="95"/>
      <c r="C61" s="95"/>
      <c r="D61" s="95"/>
      <c r="E61" s="95"/>
      <c r="F61" s="95"/>
      <c r="G61" s="95"/>
      <c r="H61" s="95"/>
      <c r="I61" s="95"/>
      <c r="J61" s="95"/>
      <c r="K61" s="95"/>
      <c r="L61" s="95"/>
    </row>
    <row r="62" ht="15.75" customHeight="1">
      <c r="A62" s="95"/>
      <c r="B62" s="95"/>
      <c r="C62" s="95"/>
      <c r="D62" s="95"/>
      <c r="E62" s="95"/>
      <c r="F62" s="95"/>
      <c r="G62" s="95"/>
      <c r="H62" s="95"/>
      <c r="I62" s="95"/>
      <c r="J62" s="95"/>
      <c r="K62" s="95"/>
      <c r="L62" s="95"/>
    </row>
    <row r="63" ht="15.75" customHeight="1">
      <c r="A63" s="95"/>
      <c r="B63" s="95"/>
      <c r="C63" s="95"/>
      <c r="D63" s="95"/>
      <c r="E63" s="95"/>
      <c r="F63" s="95"/>
      <c r="G63" s="95"/>
      <c r="H63" s="95"/>
      <c r="I63" s="95"/>
      <c r="J63" s="95"/>
      <c r="K63" s="95"/>
      <c r="L63" s="95"/>
    </row>
    <row r="64" ht="15.75" customHeight="1">
      <c r="A64" s="95"/>
      <c r="B64" s="95"/>
      <c r="C64" s="95"/>
      <c r="D64" s="95"/>
      <c r="E64" s="95"/>
      <c r="F64" s="95"/>
      <c r="G64" s="95"/>
      <c r="H64" s="95"/>
      <c r="I64" s="95"/>
      <c r="J64" s="95"/>
      <c r="K64" s="95"/>
      <c r="L64" s="95"/>
    </row>
    <row r="65" ht="15.75" customHeight="1">
      <c r="A65" s="95"/>
      <c r="B65" s="95"/>
      <c r="C65" s="95"/>
      <c r="D65" s="95"/>
      <c r="E65" s="95"/>
      <c r="F65" s="95"/>
      <c r="G65" s="95"/>
      <c r="H65" s="95"/>
      <c r="I65" s="95"/>
      <c r="J65" s="95"/>
      <c r="K65" s="95"/>
      <c r="L65" s="95"/>
    </row>
    <row r="66" ht="15.75" customHeight="1">
      <c r="A66" s="95"/>
      <c r="B66" s="95"/>
      <c r="C66" s="95"/>
      <c r="D66" s="95"/>
      <c r="E66" s="95"/>
      <c r="F66" s="95"/>
      <c r="G66" s="95"/>
      <c r="H66" s="95"/>
      <c r="I66" s="95"/>
      <c r="J66" s="95"/>
      <c r="K66" s="95"/>
      <c r="L66" s="95"/>
    </row>
    <row r="67" ht="15.75" customHeight="1">
      <c r="A67" s="95"/>
      <c r="B67" s="95"/>
      <c r="C67" s="95"/>
      <c r="D67" s="95"/>
      <c r="E67" s="95"/>
      <c r="F67" s="95"/>
      <c r="G67" s="95"/>
      <c r="H67" s="95"/>
      <c r="I67" s="95"/>
      <c r="J67" s="95"/>
      <c r="K67" s="95"/>
      <c r="L67" s="95"/>
    </row>
    <row r="68" ht="15.75" customHeight="1">
      <c r="A68" s="95"/>
      <c r="B68" s="95"/>
      <c r="C68" s="95"/>
      <c r="D68" s="95"/>
      <c r="E68" s="95"/>
      <c r="F68" s="95"/>
      <c r="G68" s="95"/>
      <c r="H68" s="95"/>
      <c r="I68" s="95"/>
      <c r="J68" s="95"/>
      <c r="K68" s="95"/>
      <c r="L68" s="95"/>
    </row>
    <row r="69" ht="15.75" customHeight="1">
      <c r="A69" s="95"/>
      <c r="B69" s="95"/>
      <c r="C69" s="95"/>
      <c r="D69" s="95"/>
      <c r="E69" s="95"/>
      <c r="F69" s="95"/>
      <c r="G69" s="95"/>
      <c r="H69" s="95"/>
      <c r="I69" s="95"/>
      <c r="J69" s="95"/>
      <c r="K69" s="95"/>
      <c r="L69" s="95"/>
    </row>
    <row r="70" ht="15.75" customHeight="1">
      <c r="A70" s="95"/>
      <c r="B70" s="95"/>
      <c r="C70" s="95"/>
      <c r="D70" s="95"/>
      <c r="E70" s="95"/>
      <c r="F70" s="95"/>
      <c r="G70" s="95"/>
      <c r="H70" s="95"/>
      <c r="I70" s="95"/>
      <c r="J70" s="95"/>
      <c r="K70" s="95"/>
      <c r="L70" s="95"/>
    </row>
    <row r="71" ht="15.75" customHeight="1">
      <c r="A71" s="95"/>
      <c r="B71" s="95"/>
      <c r="C71" s="95"/>
      <c r="D71" s="95"/>
      <c r="E71" s="95"/>
      <c r="F71" s="95"/>
      <c r="G71" s="95"/>
      <c r="H71" s="95"/>
      <c r="I71" s="95"/>
      <c r="J71" s="95"/>
      <c r="K71" s="95"/>
      <c r="L71" s="95"/>
    </row>
    <row r="72" ht="15.75" customHeight="1">
      <c r="A72" s="95"/>
      <c r="B72" s="95"/>
      <c r="C72" s="95"/>
      <c r="D72" s="95"/>
      <c r="E72" s="95"/>
      <c r="F72" s="95"/>
      <c r="G72" s="95"/>
      <c r="H72" s="95"/>
      <c r="I72" s="95"/>
      <c r="J72" s="95"/>
      <c r="K72" s="95"/>
      <c r="L72" s="95"/>
    </row>
    <row r="73" ht="15.75" customHeight="1">
      <c r="A73" s="95"/>
      <c r="B73" s="95"/>
      <c r="C73" s="95"/>
      <c r="D73" s="95"/>
      <c r="E73" s="95"/>
      <c r="F73" s="95"/>
      <c r="G73" s="95"/>
      <c r="H73" s="95"/>
      <c r="I73" s="95"/>
      <c r="J73" s="95"/>
      <c r="K73" s="95"/>
      <c r="L73" s="95"/>
    </row>
    <row r="74" ht="15.75" customHeight="1">
      <c r="A74" s="95"/>
      <c r="B74" s="95"/>
      <c r="C74" s="95"/>
      <c r="D74" s="95"/>
      <c r="E74" s="95"/>
      <c r="F74" s="95"/>
      <c r="G74" s="95"/>
      <c r="H74" s="95"/>
      <c r="I74" s="95"/>
      <c r="J74" s="95"/>
      <c r="K74" s="95"/>
      <c r="L74" s="95"/>
    </row>
    <row r="75" ht="15.75" customHeight="1">
      <c r="A75" s="95"/>
      <c r="B75" s="95"/>
      <c r="C75" s="95"/>
      <c r="D75" s="95"/>
      <c r="E75" s="95"/>
      <c r="F75" s="95"/>
      <c r="G75" s="95"/>
      <c r="H75" s="95"/>
      <c r="I75" s="95"/>
      <c r="J75" s="95"/>
      <c r="K75" s="95"/>
      <c r="L75" s="95"/>
    </row>
    <row r="76" ht="15.75" customHeight="1">
      <c r="A76" s="95"/>
      <c r="B76" s="95"/>
      <c r="C76" s="95"/>
      <c r="D76" s="95"/>
      <c r="E76" s="95"/>
      <c r="F76" s="95"/>
      <c r="G76" s="95"/>
      <c r="H76" s="95"/>
      <c r="I76" s="95"/>
      <c r="J76" s="95"/>
      <c r="K76" s="95"/>
      <c r="L76" s="95"/>
    </row>
    <row r="77" ht="15.75" customHeight="1">
      <c r="A77" s="95"/>
      <c r="B77" s="95"/>
      <c r="C77" s="95"/>
      <c r="D77" s="95"/>
      <c r="E77" s="95"/>
      <c r="F77" s="95"/>
      <c r="G77" s="95"/>
      <c r="H77" s="95"/>
      <c r="I77" s="95"/>
      <c r="J77" s="95"/>
      <c r="K77" s="95"/>
      <c r="L77" s="95"/>
    </row>
    <row r="78" ht="15.75" customHeight="1">
      <c r="A78" s="95"/>
      <c r="B78" s="95"/>
      <c r="C78" s="95"/>
      <c r="D78" s="95"/>
      <c r="E78" s="95"/>
      <c r="F78" s="95"/>
      <c r="G78" s="95"/>
      <c r="H78" s="95"/>
      <c r="I78" s="95"/>
      <c r="J78" s="95"/>
      <c r="K78" s="95"/>
      <c r="L78" s="95"/>
    </row>
    <row r="79" ht="15.75" customHeight="1">
      <c r="A79" s="95"/>
      <c r="B79" s="95"/>
      <c r="C79" s="95"/>
      <c r="D79" s="95"/>
      <c r="E79" s="95"/>
      <c r="F79" s="95"/>
      <c r="G79" s="95"/>
      <c r="H79" s="95"/>
      <c r="I79" s="95"/>
      <c r="J79" s="95"/>
      <c r="K79" s="95"/>
      <c r="L79" s="95"/>
    </row>
    <row r="80" ht="15.75" customHeight="1">
      <c r="A80" s="95"/>
      <c r="B80" s="95"/>
      <c r="C80" s="95"/>
      <c r="D80" s="95"/>
      <c r="E80" s="95"/>
      <c r="F80" s="95"/>
      <c r="G80" s="95"/>
      <c r="H80" s="95"/>
      <c r="I80" s="95"/>
      <c r="J80" s="95"/>
      <c r="K80" s="95"/>
      <c r="L80" s="95"/>
    </row>
    <row r="81" ht="15.75" customHeight="1">
      <c r="A81" s="95"/>
      <c r="B81" s="95"/>
      <c r="C81" s="95"/>
      <c r="D81" s="95"/>
      <c r="E81" s="95"/>
      <c r="F81" s="95"/>
      <c r="G81" s="95"/>
      <c r="H81" s="95"/>
      <c r="I81" s="95"/>
      <c r="J81" s="95"/>
      <c r="K81" s="95"/>
      <c r="L81" s="95"/>
    </row>
    <row r="82" ht="15.75" customHeight="1">
      <c r="A82" s="95"/>
      <c r="B82" s="95"/>
      <c r="C82" s="95"/>
      <c r="D82" s="95"/>
      <c r="E82" s="95"/>
      <c r="F82" s="95"/>
      <c r="G82" s="95"/>
      <c r="H82" s="95"/>
      <c r="I82" s="95"/>
      <c r="J82" s="95"/>
      <c r="K82" s="95"/>
      <c r="L82" s="95"/>
    </row>
    <row r="83" ht="15.75" customHeight="1">
      <c r="A83" s="95"/>
      <c r="B83" s="95"/>
      <c r="C83" s="95"/>
      <c r="D83" s="95"/>
      <c r="E83" s="95"/>
      <c r="F83" s="95"/>
      <c r="G83" s="95"/>
      <c r="H83" s="95"/>
      <c r="I83" s="95"/>
      <c r="J83" s="95"/>
      <c r="K83" s="95"/>
      <c r="L83" s="95"/>
    </row>
    <row r="84" ht="15.75" customHeight="1">
      <c r="A84" s="95"/>
      <c r="B84" s="95"/>
      <c r="C84" s="95"/>
      <c r="D84" s="95"/>
      <c r="E84" s="95"/>
      <c r="F84" s="95"/>
      <c r="G84" s="95"/>
      <c r="H84" s="95"/>
      <c r="I84" s="95"/>
      <c r="J84" s="95"/>
      <c r="K84" s="95"/>
      <c r="L84" s="95"/>
    </row>
    <row r="85" ht="15.75" customHeight="1">
      <c r="A85" s="95"/>
      <c r="B85" s="95"/>
      <c r="C85" s="95"/>
      <c r="D85" s="95"/>
      <c r="E85" s="95"/>
      <c r="F85" s="95"/>
      <c r="G85" s="95"/>
      <c r="H85" s="95"/>
      <c r="I85" s="95"/>
      <c r="J85" s="95"/>
      <c r="K85" s="95"/>
      <c r="L85" s="95"/>
    </row>
    <row r="86" ht="15.75" customHeight="1">
      <c r="A86" s="95"/>
      <c r="B86" s="95"/>
      <c r="C86" s="95"/>
      <c r="D86" s="95"/>
      <c r="E86" s="95"/>
      <c r="F86" s="95"/>
      <c r="G86" s="95"/>
      <c r="H86" s="95"/>
      <c r="I86" s="95"/>
      <c r="J86" s="95"/>
      <c r="K86" s="95"/>
      <c r="L86" s="95"/>
    </row>
    <row r="87" ht="15.75" customHeight="1">
      <c r="A87" s="95"/>
      <c r="B87" s="95"/>
      <c r="C87" s="95"/>
      <c r="D87" s="95"/>
      <c r="E87" s="95"/>
      <c r="F87" s="95"/>
      <c r="G87" s="95"/>
      <c r="H87" s="95"/>
      <c r="I87" s="95"/>
      <c r="J87" s="95"/>
      <c r="K87" s="95"/>
      <c r="L87" s="95"/>
    </row>
    <row r="88" ht="15.75" customHeight="1">
      <c r="A88" s="95"/>
      <c r="B88" s="95"/>
      <c r="C88" s="95"/>
      <c r="D88" s="95"/>
      <c r="E88" s="95"/>
      <c r="F88" s="95"/>
      <c r="G88" s="95"/>
      <c r="H88" s="95"/>
      <c r="I88" s="95"/>
      <c r="J88" s="95"/>
      <c r="K88" s="95"/>
      <c r="L88" s="95"/>
    </row>
    <row r="89" ht="15.75" customHeight="1">
      <c r="A89" s="95"/>
      <c r="B89" s="95"/>
      <c r="C89" s="95"/>
      <c r="D89" s="95"/>
      <c r="E89" s="95"/>
      <c r="F89" s="95"/>
      <c r="G89" s="95"/>
      <c r="H89" s="95"/>
      <c r="I89" s="95"/>
      <c r="J89" s="95"/>
      <c r="K89" s="95"/>
      <c r="L89" s="95"/>
    </row>
    <row r="90" ht="15.75" customHeight="1">
      <c r="A90" s="95"/>
      <c r="B90" s="95"/>
      <c r="C90" s="95"/>
      <c r="D90" s="95"/>
      <c r="E90" s="95"/>
      <c r="F90" s="95"/>
      <c r="G90" s="95"/>
      <c r="H90" s="95"/>
      <c r="I90" s="95"/>
      <c r="J90" s="95"/>
      <c r="K90" s="95"/>
      <c r="L90" s="95"/>
    </row>
    <row r="91" ht="15.75" customHeight="1">
      <c r="A91" s="95"/>
      <c r="B91" s="95"/>
      <c r="C91" s="95"/>
      <c r="D91" s="95"/>
      <c r="E91" s="95"/>
      <c r="F91" s="95"/>
      <c r="G91" s="95"/>
      <c r="H91" s="95"/>
      <c r="I91" s="95"/>
      <c r="J91" s="95"/>
      <c r="K91" s="95"/>
      <c r="L91" s="95"/>
    </row>
    <row r="92" ht="15.75" customHeight="1">
      <c r="A92" s="95"/>
      <c r="B92" s="95"/>
      <c r="C92" s="95"/>
      <c r="D92" s="95"/>
      <c r="E92" s="95"/>
      <c r="F92" s="95"/>
      <c r="G92" s="95"/>
      <c r="H92" s="95"/>
      <c r="I92" s="95"/>
      <c r="J92" s="95"/>
      <c r="K92" s="95"/>
      <c r="L92" s="95"/>
    </row>
    <row r="93" ht="15.75" customHeight="1">
      <c r="A93" s="95"/>
      <c r="B93" s="95"/>
      <c r="C93" s="95"/>
      <c r="D93" s="95"/>
      <c r="E93" s="95"/>
      <c r="F93" s="95"/>
      <c r="G93" s="95"/>
      <c r="H93" s="95"/>
      <c r="I93" s="95"/>
      <c r="J93" s="95"/>
      <c r="K93" s="95"/>
      <c r="L93" s="95"/>
    </row>
    <row r="94" ht="15.75" customHeight="1">
      <c r="A94" s="95"/>
      <c r="B94" s="95"/>
      <c r="C94" s="95"/>
      <c r="D94" s="95"/>
      <c r="E94" s="95"/>
      <c r="F94" s="95"/>
      <c r="G94" s="95"/>
      <c r="H94" s="95"/>
      <c r="I94" s="95"/>
      <c r="J94" s="95"/>
      <c r="K94" s="95"/>
      <c r="L94" s="95"/>
    </row>
    <row r="95" ht="15.75" customHeight="1">
      <c r="A95" s="95"/>
      <c r="B95" s="95"/>
      <c r="C95" s="95"/>
      <c r="D95" s="95"/>
      <c r="E95" s="95"/>
      <c r="F95" s="95"/>
      <c r="G95" s="95"/>
      <c r="H95" s="95"/>
      <c r="I95" s="95"/>
      <c r="J95" s="95"/>
      <c r="K95" s="95"/>
      <c r="L95" s="95"/>
    </row>
    <row r="96" ht="15.75" customHeight="1">
      <c r="A96" s="95"/>
      <c r="B96" s="95"/>
      <c r="C96" s="95"/>
      <c r="D96" s="95"/>
      <c r="E96" s="95"/>
      <c r="F96" s="95"/>
      <c r="G96" s="95"/>
      <c r="H96" s="95"/>
      <c r="I96" s="95"/>
      <c r="J96" s="95"/>
      <c r="K96" s="95"/>
      <c r="L96" s="95"/>
    </row>
    <row r="97" ht="15.75" customHeight="1">
      <c r="A97" s="95"/>
      <c r="B97" s="95"/>
      <c r="C97" s="95"/>
      <c r="D97" s="95"/>
      <c r="E97" s="95"/>
      <c r="F97" s="95"/>
      <c r="G97" s="95"/>
      <c r="H97" s="95"/>
      <c r="I97" s="95"/>
      <c r="J97" s="95"/>
      <c r="K97" s="95"/>
      <c r="L97" s="95"/>
    </row>
    <row r="98" ht="15.75" customHeight="1">
      <c r="A98" s="95"/>
      <c r="B98" s="95"/>
      <c r="C98" s="95"/>
      <c r="D98" s="95"/>
      <c r="E98" s="95"/>
      <c r="F98" s="95"/>
      <c r="G98" s="95"/>
      <c r="H98" s="95"/>
      <c r="I98" s="95"/>
      <c r="J98" s="95"/>
      <c r="K98" s="95"/>
      <c r="L98" s="95"/>
    </row>
    <row r="99" ht="15.75" customHeight="1">
      <c r="A99" s="95"/>
      <c r="B99" s="95"/>
      <c r="C99" s="95"/>
      <c r="D99" s="95"/>
      <c r="E99" s="95"/>
      <c r="F99" s="95"/>
      <c r="G99" s="95"/>
      <c r="H99" s="95"/>
      <c r="I99" s="95"/>
      <c r="J99" s="95"/>
      <c r="K99" s="95"/>
      <c r="L99" s="95"/>
    </row>
    <row r="100" ht="15.75" customHeight="1">
      <c r="A100" s="95"/>
      <c r="B100" s="95"/>
      <c r="C100" s="95"/>
      <c r="D100" s="95"/>
      <c r="E100" s="95"/>
      <c r="F100" s="95"/>
      <c r="G100" s="95"/>
      <c r="H100" s="95"/>
      <c r="I100" s="95"/>
      <c r="J100" s="95"/>
      <c r="K100" s="95"/>
      <c r="L100" s="95"/>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6">
    <mergeCell ref="A18:D18"/>
    <mergeCell ref="E18:F18"/>
    <mergeCell ref="G18:L18"/>
    <mergeCell ref="A19:L19"/>
    <mergeCell ref="A20:L20"/>
    <mergeCell ref="A21:L21"/>
    <mergeCell ref="A22:L22"/>
    <mergeCell ref="J27:K28"/>
    <mergeCell ref="L27:L28"/>
    <mergeCell ref="A23:L24"/>
    <mergeCell ref="A25:G26"/>
    <mergeCell ref="H25:L26"/>
    <mergeCell ref="A27:B28"/>
    <mergeCell ref="C27:D28"/>
    <mergeCell ref="E27:G28"/>
    <mergeCell ref="H27:I28"/>
    <mergeCell ref="A29:B30"/>
    <mergeCell ref="C29:D30"/>
    <mergeCell ref="E29:G30"/>
    <mergeCell ref="H29:I30"/>
    <mergeCell ref="J29:K30"/>
    <mergeCell ref="L29:L30"/>
    <mergeCell ref="A31:B32"/>
    <mergeCell ref="L31:L32"/>
    <mergeCell ref="A37:G37"/>
    <mergeCell ref="A38:G38"/>
    <mergeCell ref="C31:D32"/>
    <mergeCell ref="E31:G32"/>
    <mergeCell ref="A33:B34"/>
    <mergeCell ref="C33:D34"/>
    <mergeCell ref="E33:G34"/>
    <mergeCell ref="A35:G35"/>
    <mergeCell ref="A36:G36"/>
    <mergeCell ref="H37:L37"/>
    <mergeCell ref="H38:L38"/>
    <mergeCell ref="H31:I32"/>
    <mergeCell ref="J31:K32"/>
    <mergeCell ref="H33:I34"/>
    <mergeCell ref="J33:K34"/>
    <mergeCell ref="L33:L34"/>
    <mergeCell ref="H35:L35"/>
    <mergeCell ref="H36:L36"/>
    <mergeCell ref="A1:L1"/>
    <mergeCell ref="A2:L2"/>
    <mergeCell ref="A3:L3"/>
    <mergeCell ref="A4:L4"/>
    <mergeCell ref="A5:L5"/>
    <mergeCell ref="A6:L6"/>
    <mergeCell ref="A7:L8"/>
    <mergeCell ref="E11:F11"/>
    <mergeCell ref="G11:L11"/>
    <mergeCell ref="A9:D9"/>
    <mergeCell ref="E9:F9"/>
    <mergeCell ref="G9:L9"/>
    <mergeCell ref="A10:D10"/>
    <mergeCell ref="E10:F10"/>
    <mergeCell ref="G10:L10"/>
    <mergeCell ref="A11:D11"/>
    <mergeCell ref="E14:F14"/>
    <mergeCell ref="G14:L14"/>
    <mergeCell ref="A12:D12"/>
    <mergeCell ref="E12:F12"/>
    <mergeCell ref="G12:L12"/>
    <mergeCell ref="A13:D13"/>
    <mergeCell ref="E13:F13"/>
    <mergeCell ref="G13:L13"/>
    <mergeCell ref="A14:D14"/>
    <mergeCell ref="E17:F17"/>
    <mergeCell ref="G17:L17"/>
    <mergeCell ref="A15:D15"/>
    <mergeCell ref="E15:F15"/>
    <mergeCell ref="G15:L15"/>
    <mergeCell ref="A16:D16"/>
    <mergeCell ref="E16:F16"/>
    <mergeCell ref="G16:L16"/>
    <mergeCell ref="A17:D17"/>
  </mergeCells>
  <printOptions/>
  <pageMargins bottom="0.75" footer="0.0" header="0.0" left="0.7" right="0.7" top="0.75"/>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1" width="10.88"/>
    <col customWidth="1" min="22" max="26" width="14.38"/>
  </cols>
  <sheetData>
    <row r="1" ht="16.5" customHeight="1">
      <c r="A1" s="180" t="s">
        <v>200</v>
      </c>
      <c r="B1" s="93"/>
      <c r="C1" s="93"/>
      <c r="D1" s="93"/>
      <c r="E1" s="93"/>
      <c r="F1" s="93"/>
      <c r="G1" s="93"/>
      <c r="H1" s="93"/>
      <c r="I1" s="93"/>
      <c r="J1" s="93"/>
      <c r="K1" s="93"/>
      <c r="L1" s="93"/>
      <c r="M1" s="93"/>
      <c r="N1" s="93"/>
      <c r="O1" s="93"/>
      <c r="P1" s="93"/>
      <c r="Q1" s="93"/>
      <c r="R1" s="93"/>
      <c r="S1" s="93"/>
      <c r="T1" s="93"/>
      <c r="U1" s="93"/>
    </row>
    <row r="2" ht="15.75" customHeight="1">
      <c r="A2" s="213"/>
      <c r="B2" s="12"/>
      <c r="C2" s="12"/>
      <c r="D2" s="12"/>
      <c r="E2" s="12"/>
      <c r="F2" s="12"/>
      <c r="G2" s="12"/>
      <c r="H2" s="12"/>
      <c r="I2" s="12"/>
      <c r="J2" s="12"/>
      <c r="K2" s="12"/>
      <c r="L2" s="12"/>
      <c r="M2" s="12"/>
      <c r="N2" s="12"/>
      <c r="O2" s="12"/>
      <c r="P2" s="12"/>
      <c r="Q2" s="12"/>
      <c r="R2" s="12"/>
      <c r="S2" s="12"/>
      <c r="T2" s="12"/>
      <c r="U2" s="12"/>
    </row>
    <row r="3" ht="15.75" customHeight="1">
      <c r="A3" s="182" t="s">
        <v>201</v>
      </c>
      <c r="B3" s="128"/>
      <c r="C3" s="128"/>
      <c r="D3" s="128"/>
      <c r="E3" s="128"/>
      <c r="F3" s="128"/>
      <c r="G3" s="128"/>
      <c r="H3" s="128"/>
      <c r="I3" s="128"/>
      <c r="J3" s="128"/>
      <c r="K3" s="128"/>
      <c r="L3" s="128"/>
      <c r="M3" s="128"/>
      <c r="N3" s="128"/>
      <c r="O3" s="128"/>
      <c r="P3" s="128"/>
      <c r="Q3" s="128"/>
      <c r="R3" s="128"/>
      <c r="S3" s="128"/>
      <c r="T3" s="128"/>
      <c r="U3" s="128"/>
    </row>
    <row r="4" ht="15.75" customHeight="1">
      <c r="A4" s="182" t="s">
        <v>202</v>
      </c>
      <c r="B4" s="128"/>
      <c r="C4" s="128"/>
      <c r="D4" s="128"/>
      <c r="E4" s="128"/>
      <c r="F4" s="128"/>
      <c r="G4" s="128"/>
      <c r="H4" s="128"/>
      <c r="I4" s="128"/>
      <c r="J4" s="128"/>
      <c r="K4" s="128"/>
      <c r="L4" s="128"/>
      <c r="M4" s="128"/>
      <c r="N4" s="128"/>
      <c r="O4" s="128"/>
      <c r="P4" s="128"/>
      <c r="Q4" s="128"/>
      <c r="R4" s="128"/>
      <c r="S4" s="128"/>
      <c r="T4" s="128"/>
      <c r="U4" s="128"/>
    </row>
    <row r="5" ht="15.75" customHeight="1">
      <c r="A5" s="182" t="s">
        <v>203</v>
      </c>
      <c r="B5" s="128"/>
      <c r="C5" s="128"/>
      <c r="D5" s="128"/>
      <c r="E5" s="128"/>
      <c r="F5" s="128"/>
      <c r="G5" s="128"/>
      <c r="H5" s="128"/>
      <c r="I5" s="128"/>
      <c r="J5" s="128"/>
      <c r="K5" s="128"/>
      <c r="L5" s="128"/>
      <c r="M5" s="128"/>
      <c r="N5" s="128"/>
      <c r="O5" s="128"/>
      <c r="P5" s="128"/>
      <c r="Q5" s="128"/>
      <c r="R5" s="128"/>
      <c r="S5" s="128"/>
      <c r="T5" s="128"/>
      <c r="U5" s="128"/>
    </row>
    <row r="6" ht="15.75" customHeight="1">
      <c r="A6" s="182" t="s">
        <v>204</v>
      </c>
      <c r="B6" s="128"/>
      <c r="C6" s="128"/>
      <c r="D6" s="128"/>
      <c r="E6" s="128"/>
      <c r="F6" s="128"/>
      <c r="G6" s="128"/>
      <c r="H6" s="128"/>
      <c r="I6" s="128"/>
      <c r="J6" s="128"/>
      <c r="K6" s="128"/>
      <c r="L6" s="128"/>
      <c r="M6" s="128"/>
      <c r="N6" s="128"/>
      <c r="O6" s="128"/>
      <c r="P6" s="128"/>
      <c r="Q6" s="128"/>
      <c r="R6" s="128"/>
      <c r="S6" s="128"/>
      <c r="T6" s="128"/>
      <c r="U6" s="128"/>
    </row>
    <row r="7" ht="15.75" customHeight="1">
      <c r="A7" s="214"/>
      <c r="B7" s="128"/>
      <c r="C7" s="128"/>
      <c r="D7" s="128"/>
      <c r="E7" s="128"/>
      <c r="F7" s="128"/>
      <c r="G7" s="128"/>
      <c r="H7" s="128"/>
      <c r="I7" s="128"/>
      <c r="J7" s="128"/>
      <c r="K7" s="128"/>
      <c r="L7" s="128"/>
      <c r="M7" s="128"/>
      <c r="N7" s="128"/>
      <c r="O7" s="128"/>
      <c r="P7" s="128"/>
      <c r="Q7" s="128"/>
      <c r="R7" s="128"/>
      <c r="S7" s="128"/>
      <c r="T7" s="128"/>
      <c r="U7" s="128"/>
    </row>
    <row r="8" ht="16.5" customHeight="1">
      <c r="A8" s="215"/>
      <c r="B8" s="184"/>
      <c r="C8" s="184"/>
      <c r="D8" s="184"/>
      <c r="E8" s="184"/>
      <c r="F8" s="184"/>
      <c r="G8" s="184"/>
      <c r="H8" s="184"/>
      <c r="I8" s="184"/>
      <c r="J8" s="184"/>
      <c r="K8" s="184"/>
      <c r="L8" s="184"/>
      <c r="M8" s="184"/>
      <c r="N8" s="184"/>
      <c r="O8" s="184"/>
      <c r="P8" s="184"/>
      <c r="Q8" s="184"/>
      <c r="R8" s="184"/>
      <c r="S8" s="184"/>
      <c r="T8" s="184"/>
      <c r="U8" s="184"/>
    </row>
    <row r="9" ht="16.5" customHeight="1">
      <c r="A9" s="180" t="s">
        <v>205</v>
      </c>
      <c r="B9" s="93"/>
      <c r="C9" s="93"/>
      <c r="D9" s="93"/>
      <c r="E9" s="93"/>
      <c r="F9" s="93"/>
      <c r="G9" s="93"/>
      <c r="H9" s="93"/>
      <c r="I9" s="93"/>
      <c r="J9" s="93"/>
      <c r="K9" s="93"/>
      <c r="L9" s="93"/>
      <c r="M9" s="93"/>
      <c r="N9" s="93"/>
      <c r="O9" s="93"/>
      <c r="P9" s="93"/>
      <c r="Q9" s="93"/>
      <c r="R9" s="93"/>
      <c r="S9" s="93"/>
      <c r="T9" s="93"/>
      <c r="U9" s="93"/>
    </row>
    <row r="10" ht="15.75" customHeight="1">
      <c r="A10" s="213"/>
      <c r="B10" s="12"/>
      <c r="C10" s="12"/>
      <c r="D10" s="12"/>
      <c r="E10" s="12"/>
      <c r="F10" s="12"/>
      <c r="G10" s="12"/>
      <c r="H10" s="12"/>
      <c r="I10" s="12"/>
      <c r="J10" s="12"/>
      <c r="K10" s="12"/>
      <c r="L10" s="12"/>
      <c r="M10" s="12"/>
      <c r="N10" s="12"/>
      <c r="O10" s="12"/>
      <c r="P10" s="12"/>
      <c r="Q10" s="12"/>
      <c r="R10" s="12"/>
      <c r="S10" s="12"/>
      <c r="T10" s="12"/>
      <c r="U10" s="12"/>
    </row>
    <row r="11" ht="15.75" customHeight="1">
      <c r="A11" s="182" t="s">
        <v>206</v>
      </c>
      <c r="B11" s="128"/>
      <c r="C11" s="128"/>
      <c r="D11" s="128"/>
      <c r="E11" s="128"/>
      <c r="F11" s="128"/>
      <c r="G11" s="128"/>
      <c r="H11" s="128"/>
      <c r="I11" s="128"/>
      <c r="J11" s="128"/>
      <c r="K11" s="128"/>
      <c r="L11" s="128"/>
      <c r="M11" s="128"/>
      <c r="N11" s="128"/>
      <c r="O11" s="128"/>
      <c r="P11" s="128"/>
      <c r="Q11" s="128"/>
      <c r="R11" s="128"/>
      <c r="S11" s="128"/>
      <c r="T11" s="128"/>
      <c r="U11" s="128"/>
    </row>
    <row r="12" ht="15.75" customHeight="1">
      <c r="A12" s="182" t="s">
        <v>207</v>
      </c>
      <c r="B12" s="128"/>
      <c r="C12" s="128"/>
      <c r="D12" s="128"/>
      <c r="E12" s="128"/>
      <c r="F12" s="128"/>
      <c r="G12" s="128"/>
      <c r="H12" s="128"/>
      <c r="I12" s="128"/>
      <c r="J12" s="128"/>
      <c r="K12" s="128"/>
      <c r="L12" s="128"/>
      <c r="M12" s="128"/>
      <c r="N12" s="128"/>
      <c r="O12" s="128"/>
      <c r="P12" s="128"/>
      <c r="Q12" s="128"/>
      <c r="R12" s="128"/>
      <c r="S12" s="128"/>
      <c r="T12" s="128"/>
      <c r="U12" s="128"/>
    </row>
    <row r="13" ht="15.75" customHeight="1">
      <c r="A13" s="182" t="s">
        <v>208</v>
      </c>
      <c r="B13" s="128"/>
      <c r="C13" s="128"/>
      <c r="D13" s="128"/>
      <c r="E13" s="128"/>
      <c r="F13" s="128"/>
      <c r="G13" s="128"/>
      <c r="H13" s="128"/>
      <c r="I13" s="128"/>
      <c r="J13" s="128"/>
      <c r="K13" s="128"/>
      <c r="L13" s="128"/>
      <c r="M13" s="128"/>
      <c r="N13" s="128"/>
      <c r="O13" s="128"/>
      <c r="P13" s="128"/>
      <c r="Q13" s="128"/>
      <c r="R13" s="128"/>
      <c r="S13" s="128"/>
      <c r="T13" s="128"/>
      <c r="U13" s="128"/>
    </row>
    <row r="14" ht="15.75" customHeight="1">
      <c r="A14" s="182" t="s">
        <v>209</v>
      </c>
      <c r="B14" s="128"/>
      <c r="C14" s="128"/>
      <c r="D14" s="128"/>
      <c r="E14" s="128"/>
      <c r="F14" s="128"/>
      <c r="G14" s="128"/>
      <c r="H14" s="128"/>
      <c r="I14" s="128"/>
      <c r="J14" s="128"/>
      <c r="K14" s="128"/>
      <c r="L14" s="128"/>
      <c r="M14" s="128"/>
      <c r="N14" s="128"/>
      <c r="O14" s="128"/>
      <c r="P14" s="128"/>
      <c r="Q14" s="128"/>
      <c r="R14" s="128"/>
      <c r="S14" s="128"/>
      <c r="T14" s="128"/>
      <c r="U14" s="128"/>
    </row>
    <row r="15" ht="15.75" customHeight="1">
      <c r="A15" s="182" t="s">
        <v>210</v>
      </c>
      <c r="B15" s="128"/>
      <c r="C15" s="128"/>
      <c r="D15" s="128"/>
      <c r="E15" s="128"/>
      <c r="F15" s="128"/>
      <c r="G15" s="128"/>
      <c r="H15" s="128"/>
      <c r="I15" s="128"/>
      <c r="J15" s="128"/>
      <c r="K15" s="128"/>
      <c r="L15" s="128"/>
      <c r="M15" s="128"/>
      <c r="N15" s="128"/>
      <c r="O15" s="128"/>
      <c r="P15" s="128"/>
      <c r="Q15" s="128"/>
      <c r="R15" s="128"/>
      <c r="S15" s="128"/>
      <c r="T15" s="128"/>
      <c r="U15" s="128"/>
    </row>
    <row r="16" ht="15.75" customHeight="1">
      <c r="A16" s="182" t="s">
        <v>211</v>
      </c>
      <c r="B16" s="128"/>
      <c r="C16" s="128"/>
      <c r="D16" s="128"/>
      <c r="E16" s="128"/>
      <c r="F16" s="128"/>
      <c r="G16" s="128"/>
      <c r="H16" s="128"/>
      <c r="I16" s="128"/>
      <c r="J16" s="128"/>
      <c r="K16" s="128"/>
      <c r="L16" s="128"/>
      <c r="M16" s="128"/>
      <c r="N16" s="128"/>
      <c r="O16" s="128"/>
      <c r="P16" s="128"/>
      <c r="Q16" s="128"/>
      <c r="R16" s="128"/>
      <c r="S16" s="128"/>
      <c r="T16" s="128"/>
      <c r="U16" s="128"/>
    </row>
    <row r="17" ht="15.75" customHeight="1">
      <c r="A17" s="182" t="s">
        <v>212</v>
      </c>
      <c r="B17" s="128"/>
      <c r="C17" s="128"/>
      <c r="D17" s="128"/>
      <c r="E17" s="128"/>
      <c r="F17" s="128"/>
      <c r="G17" s="128"/>
      <c r="H17" s="128"/>
      <c r="I17" s="128"/>
      <c r="J17" s="128"/>
      <c r="K17" s="128"/>
      <c r="L17" s="128"/>
      <c r="M17" s="128"/>
      <c r="N17" s="128"/>
      <c r="O17" s="128"/>
      <c r="P17" s="128"/>
      <c r="Q17" s="128"/>
      <c r="R17" s="128"/>
      <c r="S17" s="128"/>
      <c r="T17" s="128"/>
      <c r="U17" s="128"/>
    </row>
    <row r="18" ht="15.75" customHeight="1">
      <c r="A18" s="182" t="s">
        <v>213</v>
      </c>
      <c r="B18" s="128"/>
      <c r="C18" s="128"/>
      <c r="D18" s="128"/>
      <c r="E18" s="128"/>
      <c r="F18" s="128"/>
      <c r="G18" s="128"/>
      <c r="H18" s="128"/>
      <c r="I18" s="128"/>
      <c r="J18" s="128"/>
      <c r="K18" s="128"/>
      <c r="L18" s="128"/>
      <c r="M18" s="128"/>
      <c r="N18" s="128"/>
      <c r="O18" s="128"/>
      <c r="P18" s="128"/>
      <c r="Q18" s="128"/>
      <c r="R18" s="128"/>
      <c r="S18" s="128"/>
      <c r="T18" s="128"/>
      <c r="U18" s="128"/>
    </row>
    <row r="19" ht="15.75" customHeight="1">
      <c r="A19" s="182" t="s">
        <v>214</v>
      </c>
      <c r="B19" s="128"/>
      <c r="C19" s="128"/>
      <c r="D19" s="128"/>
      <c r="E19" s="128"/>
      <c r="F19" s="128"/>
      <c r="G19" s="128"/>
      <c r="H19" s="128"/>
      <c r="I19" s="128"/>
      <c r="J19" s="128"/>
      <c r="K19" s="128"/>
      <c r="L19" s="128"/>
      <c r="M19" s="128"/>
      <c r="N19" s="128"/>
      <c r="O19" s="128"/>
      <c r="P19" s="128"/>
      <c r="Q19" s="128"/>
      <c r="R19" s="128"/>
      <c r="S19" s="128"/>
      <c r="T19" s="128"/>
      <c r="U19" s="128"/>
    </row>
    <row r="20" ht="15.75" customHeight="1">
      <c r="A20" s="182" t="s">
        <v>215</v>
      </c>
      <c r="B20" s="128"/>
      <c r="C20" s="128"/>
      <c r="D20" s="128"/>
      <c r="E20" s="128"/>
      <c r="F20" s="128"/>
      <c r="G20" s="128"/>
      <c r="H20" s="128"/>
      <c r="I20" s="128"/>
      <c r="J20" s="128"/>
      <c r="K20" s="128"/>
      <c r="L20" s="128"/>
      <c r="M20" s="128"/>
      <c r="N20" s="128"/>
      <c r="O20" s="128"/>
      <c r="P20" s="128"/>
      <c r="Q20" s="128"/>
      <c r="R20" s="128"/>
      <c r="S20" s="128"/>
      <c r="T20" s="128"/>
      <c r="U20" s="128"/>
    </row>
    <row r="21" ht="15.75" customHeight="1">
      <c r="A21" s="182" t="s">
        <v>216</v>
      </c>
      <c r="B21" s="128"/>
      <c r="C21" s="128"/>
      <c r="D21" s="128"/>
      <c r="E21" s="128"/>
      <c r="F21" s="128"/>
      <c r="G21" s="128"/>
      <c r="H21" s="128"/>
      <c r="I21" s="128"/>
      <c r="J21" s="128"/>
      <c r="K21" s="128"/>
      <c r="L21" s="128"/>
      <c r="M21" s="128"/>
      <c r="N21" s="128"/>
      <c r="O21" s="128"/>
      <c r="P21" s="128"/>
      <c r="Q21" s="128"/>
      <c r="R21" s="128"/>
      <c r="S21" s="128"/>
      <c r="T21" s="128"/>
      <c r="U21" s="128"/>
    </row>
    <row r="22" ht="15.75" customHeight="1">
      <c r="A22" s="182" t="s">
        <v>217</v>
      </c>
      <c r="B22" s="128"/>
      <c r="C22" s="128"/>
      <c r="D22" s="128"/>
      <c r="E22" s="128"/>
      <c r="F22" s="128"/>
      <c r="G22" s="128"/>
      <c r="H22" s="128"/>
      <c r="I22" s="128"/>
      <c r="J22" s="128"/>
      <c r="K22" s="128"/>
      <c r="L22" s="128"/>
      <c r="M22" s="128"/>
      <c r="N22" s="128"/>
      <c r="O22" s="128"/>
      <c r="P22" s="128"/>
      <c r="Q22" s="128"/>
      <c r="R22" s="128"/>
      <c r="S22" s="128"/>
      <c r="T22" s="128"/>
      <c r="U22" s="128"/>
    </row>
    <row r="23" ht="15.75" customHeight="1">
      <c r="A23" s="182" t="s">
        <v>218</v>
      </c>
      <c r="B23" s="128"/>
      <c r="C23" s="128"/>
      <c r="D23" s="128"/>
      <c r="E23" s="128"/>
      <c r="F23" s="128"/>
      <c r="G23" s="128"/>
      <c r="H23" s="128"/>
      <c r="I23" s="128"/>
      <c r="J23" s="128"/>
      <c r="K23" s="128"/>
      <c r="L23" s="128"/>
      <c r="M23" s="128"/>
      <c r="N23" s="128"/>
      <c r="O23" s="128"/>
      <c r="P23" s="128"/>
      <c r="Q23" s="128"/>
      <c r="R23" s="128"/>
      <c r="S23" s="128"/>
      <c r="T23" s="128"/>
      <c r="U23" s="128"/>
    </row>
    <row r="24" ht="15.75" customHeight="1">
      <c r="A24" s="214"/>
      <c r="B24" s="128"/>
      <c r="C24" s="128"/>
      <c r="D24" s="128"/>
      <c r="E24" s="128"/>
      <c r="F24" s="128"/>
      <c r="G24" s="128"/>
      <c r="H24" s="128"/>
      <c r="I24" s="128"/>
      <c r="J24" s="128"/>
      <c r="K24" s="128"/>
      <c r="L24" s="128"/>
      <c r="M24" s="128"/>
      <c r="N24" s="128"/>
      <c r="O24" s="128"/>
      <c r="P24" s="128"/>
      <c r="Q24" s="128"/>
      <c r="R24" s="128"/>
      <c r="S24" s="128"/>
      <c r="T24" s="128"/>
      <c r="U24" s="128"/>
    </row>
    <row r="25" ht="15.75" customHeight="1">
      <c r="A25" s="214"/>
      <c r="B25" s="128"/>
      <c r="C25" s="128"/>
      <c r="D25" s="128"/>
      <c r="E25" s="128"/>
      <c r="F25" s="128"/>
      <c r="G25" s="128"/>
      <c r="H25" s="128"/>
      <c r="I25" s="128"/>
      <c r="J25" s="128"/>
      <c r="K25" s="128"/>
      <c r="L25" s="128"/>
      <c r="M25" s="128"/>
      <c r="N25" s="128"/>
      <c r="O25" s="128"/>
      <c r="P25" s="128"/>
      <c r="Q25" s="128"/>
      <c r="R25" s="128"/>
      <c r="S25" s="128"/>
      <c r="T25" s="128"/>
      <c r="U25" s="128"/>
    </row>
    <row r="26" ht="16.5" customHeight="1">
      <c r="A26" s="215"/>
      <c r="B26" s="184"/>
      <c r="C26" s="184"/>
      <c r="D26" s="184"/>
      <c r="E26" s="184"/>
      <c r="F26" s="184"/>
      <c r="G26" s="184"/>
      <c r="H26" s="184"/>
      <c r="I26" s="184"/>
      <c r="J26" s="184"/>
      <c r="K26" s="184"/>
      <c r="L26" s="184"/>
      <c r="M26" s="184"/>
      <c r="N26" s="184"/>
      <c r="O26" s="184"/>
      <c r="P26" s="184"/>
      <c r="Q26" s="184"/>
      <c r="R26" s="184"/>
      <c r="S26" s="184"/>
      <c r="T26" s="184"/>
      <c r="U26" s="184"/>
    </row>
    <row r="27" ht="15.75" customHeight="1">
      <c r="A27" s="95"/>
      <c r="B27" s="95"/>
      <c r="C27" s="95"/>
      <c r="D27" s="95"/>
      <c r="E27" s="95"/>
      <c r="F27" s="95"/>
      <c r="G27" s="95"/>
      <c r="H27" s="95"/>
      <c r="I27" s="95"/>
      <c r="J27" s="95"/>
      <c r="K27" s="95"/>
      <c r="L27" s="95"/>
      <c r="M27" s="95"/>
      <c r="N27" s="95"/>
      <c r="O27" s="95"/>
      <c r="P27" s="95"/>
      <c r="Q27" s="95"/>
      <c r="R27" s="95"/>
      <c r="S27" s="95"/>
      <c r="T27" s="95"/>
      <c r="U27" s="95"/>
    </row>
    <row r="28" ht="15.75" customHeight="1">
      <c r="A28" s="95"/>
      <c r="B28" s="95"/>
      <c r="C28" s="95"/>
      <c r="D28" s="95"/>
      <c r="E28" s="95"/>
      <c r="F28" s="95"/>
      <c r="G28" s="95"/>
      <c r="H28" s="95"/>
      <c r="I28" s="95"/>
      <c r="J28" s="95"/>
      <c r="K28" s="95"/>
      <c r="L28" s="95"/>
      <c r="M28" s="95"/>
      <c r="N28" s="95"/>
      <c r="O28" s="95"/>
      <c r="P28" s="95"/>
      <c r="Q28" s="95"/>
      <c r="R28" s="95"/>
      <c r="S28" s="95"/>
      <c r="T28" s="95"/>
      <c r="U28" s="95"/>
    </row>
    <row r="29" ht="15.75" customHeight="1">
      <c r="A29" s="95"/>
      <c r="B29" s="95"/>
      <c r="C29" s="95"/>
      <c r="D29" s="95"/>
      <c r="E29" s="95"/>
      <c r="F29" s="95"/>
      <c r="G29" s="95"/>
      <c r="H29" s="95"/>
      <c r="I29" s="95"/>
      <c r="J29" s="95"/>
      <c r="K29" s="95"/>
      <c r="L29" s="95"/>
      <c r="M29" s="95"/>
      <c r="N29" s="95"/>
      <c r="O29" s="95"/>
      <c r="P29" s="95"/>
      <c r="Q29" s="95"/>
      <c r="R29" s="95"/>
      <c r="S29" s="95"/>
      <c r="T29" s="95"/>
      <c r="U29" s="95"/>
    </row>
    <row r="30" ht="15.75" customHeight="1">
      <c r="A30" s="95"/>
      <c r="B30" s="95"/>
      <c r="C30" s="95"/>
      <c r="D30" s="95"/>
      <c r="E30" s="95"/>
      <c r="F30" s="95"/>
      <c r="G30" s="95"/>
      <c r="H30" s="95"/>
      <c r="I30" s="95"/>
      <c r="J30" s="95"/>
      <c r="K30" s="95"/>
      <c r="L30" s="95"/>
      <c r="M30" s="95"/>
      <c r="N30" s="95"/>
      <c r="O30" s="95"/>
      <c r="P30" s="95"/>
      <c r="Q30" s="95"/>
      <c r="R30" s="95"/>
      <c r="S30" s="95"/>
      <c r="T30" s="95"/>
      <c r="U30" s="95"/>
    </row>
    <row r="31" ht="15.75" customHeight="1">
      <c r="A31" s="95"/>
      <c r="B31" s="95"/>
      <c r="C31" s="95"/>
      <c r="D31" s="95"/>
      <c r="E31" s="95"/>
      <c r="F31" s="95"/>
      <c r="G31" s="95"/>
      <c r="H31" s="95"/>
      <c r="I31" s="95"/>
      <c r="J31" s="95"/>
      <c r="K31" s="95"/>
      <c r="L31" s="95"/>
      <c r="M31" s="95"/>
      <c r="N31" s="95"/>
      <c r="O31" s="95"/>
      <c r="P31" s="95"/>
      <c r="Q31" s="95"/>
      <c r="R31" s="95"/>
      <c r="S31" s="95"/>
      <c r="T31" s="95"/>
      <c r="U31" s="95"/>
    </row>
    <row r="32" ht="15.75" customHeight="1">
      <c r="A32" s="95"/>
      <c r="B32" s="95"/>
      <c r="C32" s="95"/>
      <c r="D32" s="95"/>
      <c r="E32" s="95"/>
      <c r="F32" s="95"/>
      <c r="G32" s="95"/>
      <c r="H32" s="95"/>
      <c r="I32" s="95"/>
      <c r="J32" s="95"/>
      <c r="K32" s="95"/>
      <c r="L32" s="95"/>
      <c r="M32" s="95"/>
      <c r="N32" s="95"/>
      <c r="O32" s="95"/>
      <c r="P32" s="95"/>
      <c r="Q32" s="95"/>
      <c r="R32" s="95"/>
      <c r="S32" s="95"/>
      <c r="T32" s="95"/>
      <c r="U32" s="95"/>
    </row>
    <row r="33" ht="15.75" customHeight="1">
      <c r="A33" s="95"/>
      <c r="B33" s="95"/>
      <c r="C33" s="95"/>
      <c r="D33" s="95"/>
      <c r="E33" s="95"/>
      <c r="F33" s="95"/>
      <c r="G33" s="95"/>
      <c r="H33" s="95"/>
      <c r="I33" s="95"/>
      <c r="J33" s="95"/>
      <c r="K33" s="95"/>
      <c r="L33" s="95"/>
      <c r="M33" s="95"/>
      <c r="N33" s="95"/>
      <c r="O33" s="95"/>
      <c r="P33" s="95"/>
      <c r="Q33" s="95"/>
      <c r="R33" s="95"/>
      <c r="S33" s="95"/>
      <c r="T33" s="95"/>
      <c r="U33" s="95"/>
    </row>
    <row r="34" ht="15.75" customHeight="1">
      <c r="A34" s="95"/>
      <c r="B34" s="95"/>
      <c r="C34" s="95"/>
      <c r="D34" s="95"/>
      <c r="E34" s="95"/>
      <c r="F34" s="95"/>
      <c r="G34" s="95"/>
      <c r="H34" s="95"/>
      <c r="I34" s="95"/>
      <c r="J34" s="95"/>
      <c r="K34" s="95"/>
      <c r="L34" s="95"/>
      <c r="M34" s="95"/>
      <c r="N34" s="95"/>
      <c r="O34" s="95"/>
      <c r="P34" s="95"/>
      <c r="Q34" s="95"/>
      <c r="R34" s="95"/>
      <c r="S34" s="95"/>
      <c r="T34" s="95"/>
      <c r="U34" s="95"/>
    </row>
    <row r="35" ht="15.75" customHeight="1">
      <c r="A35" s="95"/>
      <c r="B35" s="95"/>
      <c r="C35" s="95"/>
      <c r="D35" s="95"/>
      <c r="E35" s="95"/>
      <c r="F35" s="95"/>
      <c r="G35" s="95"/>
      <c r="H35" s="95"/>
      <c r="I35" s="95"/>
      <c r="J35" s="95"/>
      <c r="K35" s="95"/>
      <c r="L35" s="95"/>
      <c r="M35" s="95"/>
      <c r="N35" s="95"/>
      <c r="O35" s="95"/>
      <c r="P35" s="95"/>
      <c r="Q35" s="95"/>
      <c r="R35" s="95"/>
      <c r="S35" s="95"/>
      <c r="T35" s="95"/>
      <c r="U35" s="95"/>
    </row>
    <row r="36" ht="15.75" customHeight="1">
      <c r="A36" s="95"/>
      <c r="B36" s="95"/>
      <c r="C36" s="95"/>
      <c r="D36" s="95"/>
      <c r="E36" s="95"/>
      <c r="F36" s="95"/>
      <c r="G36" s="95"/>
      <c r="H36" s="95"/>
      <c r="I36" s="95"/>
      <c r="J36" s="95"/>
      <c r="K36" s="95"/>
      <c r="L36" s="95"/>
      <c r="M36" s="95"/>
      <c r="N36" s="95"/>
      <c r="O36" s="95"/>
      <c r="P36" s="95"/>
      <c r="Q36" s="95"/>
      <c r="R36" s="95"/>
      <c r="S36" s="95"/>
      <c r="T36" s="95"/>
      <c r="U36" s="95"/>
    </row>
    <row r="37" ht="15.75" customHeight="1">
      <c r="A37" s="95"/>
      <c r="B37" s="95"/>
      <c r="C37" s="95"/>
      <c r="D37" s="95"/>
      <c r="E37" s="95"/>
      <c r="F37" s="95"/>
      <c r="G37" s="95"/>
      <c r="H37" s="95"/>
      <c r="I37" s="95"/>
      <c r="J37" s="95"/>
      <c r="K37" s="95"/>
      <c r="L37" s="95"/>
      <c r="M37" s="95"/>
      <c r="N37" s="95"/>
      <c r="O37" s="95"/>
      <c r="P37" s="95"/>
      <c r="Q37" s="95"/>
      <c r="R37" s="95"/>
      <c r="S37" s="95"/>
      <c r="T37" s="95"/>
      <c r="U37" s="95"/>
    </row>
    <row r="38" ht="15.75" customHeight="1">
      <c r="A38" s="95"/>
      <c r="B38" s="95"/>
      <c r="C38" s="95"/>
      <c r="D38" s="95"/>
      <c r="E38" s="95"/>
      <c r="F38" s="95"/>
      <c r="G38" s="95"/>
      <c r="H38" s="95"/>
      <c r="I38" s="95"/>
      <c r="J38" s="95"/>
      <c r="K38" s="95"/>
      <c r="L38" s="95"/>
      <c r="M38" s="95"/>
      <c r="N38" s="95"/>
      <c r="O38" s="95"/>
      <c r="P38" s="95"/>
      <c r="Q38" s="95"/>
      <c r="R38" s="95"/>
      <c r="S38" s="95"/>
      <c r="T38" s="95"/>
      <c r="U38" s="95"/>
    </row>
    <row r="39" ht="15.75" customHeight="1">
      <c r="A39" s="95"/>
      <c r="B39" s="95"/>
      <c r="C39" s="95"/>
      <c r="D39" s="95"/>
      <c r="E39" s="95"/>
      <c r="F39" s="95"/>
      <c r="G39" s="95"/>
      <c r="H39" s="95"/>
      <c r="I39" s="95"/>
      <c r="J39" s="95"/>
      <c r="K39" s="95"/>
      <c r="L39" s="95"/>
      <c r="M39" s="95"/>
      <c r="N39" s="95"/>
      <c r="O39" s="95"/>
      <c r="P39" s="95"/>
      <c r="Q39" s="95"/>
      <c r="R39" s="95"/>
      <c r="S39" s="95"/>
      <c r="T39" s="95"/>
      <c r="U39" s="95"/>
    </row>
    <row r="40" ht="15.75" customHeight="1">
      <c r="A40" s="95"/>
      <c r="B40" s="95"/>
      <c r="C40" s="95"/>
      <c r="D40" s="95"/>
      <c r="E40" s="95"/>
      <c r="F40" s="95"/>
      <c r="G40" s="95"/>
      <c r="H40" s="95"/>
      <c r="I40" s="95"/>
      <c r="J40" s="95"/>
      <c r="K40" s="95"/>
      <c r="L40" s="95"/>
      <c r="M40" s="95"/>
      <c r="N40" s="95"/>
      <c r="O40" s="95"/>
      <c r="P40" s="95"/>
      <c r="Q40" s="95"/>
      <c r="R40" s="95"/>
      <c r="S40" s="95"/>
      <c r="T40" s="95"/>
      <c r="U40" s="95"/>
    </row>
    <row r="41" ht="15.75" customHeight="1">
      <c r="A41" s="95"/>
      <c r="B41" s="95"/>
      <c r="C41" s="95"/>
      <c r="D41" s="95"/>
      <c r="E41" s="95"/>
      <c r="F41" s="95"/>
      <c r="G41" s="95"/>
      <c r="H41" s="95"/>
      <c r="I41" s="95"/>
      <c r="J41" s="95"/>
      <c r="K41" s="95"/>
      <c r="L41" s="95"/>
      <c r="M41" s="95"/>
      <c r="N41" s="95"/>
      <c r="O41" s="95"/>
      <c r="P41" s="95"/>
      <c r="Q41" s="95"/>
      <c r="R41" s="95"/>
      <c r="S41" s="95"/>
      <c r="T41" s="95"/>
      <c r="U41" s="95"/>
    </row>
    <row r="42" ht="15.75" customHeight="1">
      <c r="A42" s="95"/>
      <c r="B42" s="95"/>
      <c r="C42" s="95"/>
      <c r="D42" s="95"/>
      <c r="E42" s="95"/>
      <c r="F42" s="95"/>
      <c r="G42" s="95"/>
      <c r="H42" s="95"/>
      <c r="I42" s="95"/>
      <c r="J42" s="95"/>
      <c r="K42" s="95"/>
      <c r="L42" s="95"/>
      <c r="M42" s="95"/>
      <c r="N42" s="95"/>
      <c r="O42" s="95"/>
      <c r="P42" s="95"/>
      <c r="Q42" s="95"/>
      <c r="R42" s="95"/>
      <c r="S42" s="95"/>
      <c r="T42" s="95"/>
      <c r="U42" s="95"/>
    </row>
    <row r="43" ht="15.75" customHeight="1">
      <c r="A43" s="95"/>
      <c r="B43" s="95"/>
      <c r="C43" s="95"/>
      <c r="D43" s="95"/>
      <c r="E43" s="95"/>
      <c r="F43" s="95"/>
      <c r="G43" s="95"/>
      <c r="H43" s="95"/>
      <c r="I43" s="95"/>
      <c r="J43" s="95"/>
      <c r="K43" s="95"/>
      <c r="L43" s="95"/>
      <c r="M43" s="95"/>
      <c r="N43" s="95"/>
      <c r="O43" s="95"/>
      <c r="P43" s="95"/>
      <c r="Q43" s="95"/>
      <c r="R43" s="95"/>
      <c r="S43" s="95"/>
      <c r="T43" s="95"/>
      <c r="U43" s="95"/>
    </row>
    <row r="44" ht="15.75" customHeight="1">
      <c r="A44" s="95"/>
      <c r="B44" s="95"/>
      <c r="C44" s="95"/>
      <c r="D44" s="95"/>
      <c r="E44" s="95"/>
      <c r="F44" s="95"/>
      <c r="G44" s="95"/>
      <c r="H44" s="95"/>
      <c r="I44" s="95"/>
      <c r="J44" s="95"/>
      <c r="K44" s="95"/>
      <c r="L44" s="95"/>
      <c r="M44" s="95"/>
      <c r="N44" s="95"/>
      <c r="O44" s="95"/>
      <c r="P44" s="95"/>
      <c r="Q44" s="95"/>
      <c r="R44" s="95"/>
      <c r="S44" s="95"/>
      <c r="T44" s="95"/>
      <c r="U44" s="95"/>
    </row>
    <row r="45" ht="15.75" customHeight="1">
      <c r="A45" s="95"/>
      <c r="B45" s="95"/>
      <c r="C45" s="95"/>
      <c r="D45" s="95"/>
      <c r="E45" s="95"/>
      <c r="F45" s="95"/>
      <c r="G45" s="95"/>
      <c r="H45" s="95"/>
      <c r="I45" s="95"/>
      <c r="J45" s="95"/>
      <c r="K45" s="95"/>
      <c r="L45" s="95"/>
      <c r="M45" s="95"/>
      <c r="N45" s="95"/>
      <c r="O45" s="95"/>
      <c r="P45" s="95"/>
      <c r="Q45" s="95"/>
      <c r="R45" s="95"/>
      <c r="S45" s="95"/>
      <c r="T45" s="95"/>
      <c r="U45" s="95"/>
    </row>
    <row r="46" ht="15.75" customHeight="1">
      <c r="A46" s="95"/>
      <c r="B46" s="95"/>
      <c r="C46" s="95"/>
      <c r="D46" s="95"/>
      <c r="E46" s="95"/>
      <c r="F46" s="95"/>
      <c r="G46" s="95"/>
      <c r="H46" s="95"/>
      <c r="I46" s="95"/>
      <c r="J46" s="95"/>
      <c r="K46" s="95"/>
      <c r="L46" s="95"/>
      <c r="M46" s="95"/>
      <c r="N46" s="95"/>
      <c r="O46" s="95"/>
      <c r="P46" s="95"/>
      <c r="Q46" s="95"/>
      <c r="R46" s="95"/>
      <c r="S46" s="95"/>
      <c r="T46" s="95"/>
      <c r="U46" s="95"/>
    </row>
    <row r="47" ht="15.75" customHeight="1">
      <c r="A47" s="95"/>
      <c r="B47" s="95"/>
      <c r="C47" s="95"/>
      <c r="D47" s="95"/>
      <c r="E47" s="95"/>
      <c r="F47" s="95"/>
      <c r="G47" s="95"/>
      <c r="H47" s="95"/>
      <c r="I47" s="95"/>
      <c r="J47" s="95"/>
      <c r="K47" s="95"/>
      <c r="L47" s="95"/>
      <c r="M47" s="95"/>
      <c r="N47" s="95"/>
      <c r="O47" s="95"/>
      <c r="P47" s="95"/>
      <c r="Q47" s="95"/>
      <c r="R47" s="95"/>
      <c r="S47" s="95"/>
      <c r="T47" s="95"/>
      <c r="U47" s="95"/>
    </row>
    <row r="48" ht="15.75" customHeight="1">
      <c r="A48" s="95"/>
      <c r="B48" s="95"/>
      <c r="C48" s="95"/>
      <c r="D48" s="95"/>
      <c r="E48" s="95"/>
      <c r="F48" s="95"/>
      <c r="G48" s="95"/>
      <c r="H48" s="95"/>
      <c r="I48" s="95"/>
      <c r="J48" s="95"/>
      <c r="K48" s="95"/>
      <c r="L48" s="95"/>
      <c r="M48" s="95"/>
      <c r="N48" s="95"/>
      <c r="O48" s="95"/>
      <c r="P48" s="95"/>
      <c r="Q48" s="95"/>
      <c r="R48" s="95"/>
      <c r="S48" s="95"/>
      <c r="T48" s="95"/>
      <c r="U48" s="95"/>
    </row>
    <row r="49" ht="15.75" customHeight="1">
      <c r="A49" s="95"/>
      <c r="B49" s="95"/>
      <c r="C49" s="95"/>
      <c r="D49" s="95"/>
      <c r="E49" s="95"/>
      <c r="F49" s="95"/>
      <c r="G49" s="95"/>
      <c r="H49" s="95"/>
      <c r="I49" s="95"/>
      <c r="J49" s="95"/>
      <c r="K49" s="95"/>
      <c r="L49" s="95"/>
      <c r="M49" s="95"/>
      <c r="N49" s="95"/>
      <c r="O49" s="95"/>
      <c r="P49" s="95"/>
      <c r="Q49" s="95"/>
      <c r="R49" s="95"/>
      <c r="S49" s="95"/>
      <c r="T49" s="95"/>
      <c r="U49" s="95"/>
    </row>
    <row r="50" ht="15.75" customHeight="1">
      <c r="A50" s="95"/>
      <c r="B50" s="95"/>
      <c r="C50" s="95"/>
      <c r="D50" s="95"/>
      <c r="E50" s="95"/>
      <c r="F50" s="95"/>
      <c r="G50" s="95"/>
      <c r="H50" s="95"/>
      <c r="I50" s="95"/>
      <c r="J50" s="95"/>
      <c r="K50" s="95"/>
      <c r="L50" s="95"/>
      <c r="M50" s="95"/>
      <c r="N50" s="95"/>
      <c r="O50" s="95"/>
      <c r="P50" s="95"/>
      <c r="Q50" s="95"/>
      <c r="R50" s="95"/>
      <c r="S50" s="95"/>
      <c r="T50" s="95"/>
      <c r="U50" s="95"/>
    </row>
    <row r="51" ht="15.75" customHeight="1">
      <c r="A51" s="95"/>
      <c r="B51" s="95"/>
      <c r="C51" s="95"/>
      <c r="D51" s="95"/>
      <c r="E51" s="95"/>
      <c r="F51" s="95"/>
      <c r="G51" s="95"/>
      <c r="H51" s="95"/>
      <c r="I51" s="95"/>
      <c r="J51" s="95"/>
      <c r="K51" s="95"/>
      <c r="L51" s="95"/>
      <c r="M51" s="95"/>
      <c r="N51" s="95"/>
      <c r="O51" s="95"/>
      <c r="P51" s="95"/>
      <c r="Q51" s="95"/>
      <c r="R51" s="95"/>
      <c r="S51" s="95"/>
      <c r="T51" s="95"/>
      <c r="U51" s="95"/>
    </row>
    <row r="52" ht="15.75" customHeight="1">
      <c r="A52" s="95"/>
      <c r="B52" s="95"/>
      <c r="C52" s="95"/>
      <c r="D52" s="95"/>
      <c r="E52" s="95"/>
      <c r="F52" s="95"/>
      <c r="G52" s="95"/>
      <c r="H52" s="95"/>
      <c r="I52" s="95"/>
      <c r="J52" s="95"/>
      <c r="K52" s="95"/>
      <c r="L52" s="95"/>
      <c r="M52" s="95"/>
      <c r="N52" s="95"/>
      <c r="O52" s="95"/>
      <c r="P52" s="95"/>
      <c r="Q52" s="95"/>
      <c r="R52" s="95"/>
      <c r="S52" s="95"/>
      <c r="T52" s="95"/>
      <c r="U52" s="95"/>
    </row>
    <row r="53" ht="15.75" customHeight="1">
      <c r="A53" s="95"/>
      <c r="B53" s="95"/>
      <c r="C53" s="95"/>
      <c r="D53" s="95"/>
      <c r="E53" s="95"/>
      <c r="F53" s="95"/>
      <c r="G53" s="95"/>
      <c r="H53" s="95"/>
      <c r="I53" s="95"/>
      <c r="J53" s="95"/>
      <c r="K53" s="95"/>
      <c r="L53" s="95"/>
      <c r="M53" s="95"/>
      <c r="N53" s="95"/>
      <c r="O53" s="95"/>
      <c r="P53" s="95"/>
      <c r="Q53" s="95"/>
      <c r="R53" s="95"/>
      <c r="S53" s="95"/>
      <c r="T53" s="95"/>
      <c r="U53" s="95"/>
    </row>
    <row r="54" ht="15.75" customHeight="1">
      <c r="A54" s="95"/>
      <c r="B54" s="95"/>
      <c r="C54" s="95"/>
      <c r="D54" s="95"/>
      <c r="E54" s="95"/>
      <c r="F54" s="95"/>
      <c r="G54" s="95"/>
      <c r="H54" s="95"/>
      <c r="I54" s="95"/>
      <c r="J54" s="95"/>
      <c r="K54" s="95"/>
      <c r="L54" s="95"/>
      <c r="M54" s="95"/>
      <c r="N54" s="95"/>
      <c r="O54" s="95"/>
      <c r="P54" s="95"/>
      <c r="Q54" s="95"/>
      <c r="R54" s="95"/>
      <c r="S54" s="95"/>
      <c r="T54" s="95"/>
      <c r="U54" s="95"/>
    </row>
    <row r="55" ht="15.75" customHeight="1">
      <c r="A55" s="95"/>
      <c r="B55" s="95"/>
      <c r="C55" s="95"/>
      <c r="D55" s="95"/>
      <c r="E55" s="95"/>
      <c r="F55" s="95"/>
      <c r="G55" s="95"/>
      <c r="H55" s="95"/>
      <c r="I55" s="95"/>
      <c r="J55" s="95"/>
      <c r="K55" s="95"/>
      <c r="L55" s="95"/>
      <c r="M55" s="95"/>
      <c r="N55" s="95"/>
      <c r="O55" s="95"/>
      <c r="P55" s="95"/>
      <c r="Q55" s="95"/>
      <c r="R55" s="95"/>
      <c r="S55" s="95"/>
      <c r="T55" s="95"/>
      <c r="U55" s="95"/>
    </row>
    <row r="56" ht="15.75" customHeight="1">
      <c r="A56" s="95"/>
      <c r="B56" s="95"/>
      <c r="C56" s="95"/>
      <c r="D56" s="95"/>
      <c r="E56" s="95"/>
      <c r="F56" s="95"/>
      <c r="G56" s="95"/>
      <c r="H56" s="95"/>
      <c r="I56" s="95"/>
      <c r="J56" s="95"/>
      <c r="K56" s="95"/>
      <c r="L56" s="95"/>
      <c r="M56" s="95"/>
      <c r="N56" s="95"/>
      <c r="O56" s="95"/>
      <c r="P56" s="95"/>
      <c r="Q56" s="95"/>
      <c r="R56" s="95"/>
      <c r="S56" s="95"/>
      <c r="T56" s="95"/>
      <c r="U56" s="95"/>
    </row>
    <row r="57" ht="15.75" customHeight="1">
      <c r="A57" s="95"/>
      <c r="B57" s="95"/>
      <c r="C57" s="95"/>
      <c r="D57" s="95"/>
      <c r="E57" s="95"/>
      <c r="F57" s="95"/>
      <c r="G57" s="95"/>
      <c r="H57" s="95"/>
      <c r="I57" s="95"/>
      <c r="J57" s="95"/>
      <c r="K57" s="95"/>
      <c r="L57" s="95"/>
      <c r="M57" s="95"/>
      <c r="N57" s="95"/>
      <c r="O57" s="95"/>
      <c r="P57" s="95"/>
      <c r="Q57" s="95"/>
      <c r="R57" s="95"/>
      <c r="S57" s="95"/>
      <c r="T57" s="95"/>
      <c r="U57" s="95"/>
    </row>
    <row r="58" ht="15.75" customHeight="1">
      <c r="A58" s="95"/>
      <c r="B58" s="95"/>
      <c r="C58" s="95"/>
      <c r="D58" s="95"/>
      <c r="E58" s="95"/>
      <c r="F58" s="95"/>
      <c r="G58" s="95"/>
      <c r="H58" s="95"/>
      <c r="I58" s="95"/>
      <c r="J58" s="95"/>
      <c r="K58" s="95"/>
      <c r="L58" s="95"/>
      <c r="M58" s="95"/>
      <c r="N58" s="95"/>
      <c r="O58" s="95"/>
      <c r="P58" s="95"/>
      <c r="Q58" s="95"/>
      <c r="R58" s="95"/>
      <c r="S58" s="95"/>
      <c r="T58" s="95"/>
      <c r="U58" s="95"/>
    </row>
    <row r="59" ht="15.75" customHeight="1">
      <c r="A59" s="95"/>
      <c r="B59" s="95"/>
      <c r="C59" s="95"/>
      <c r="D59" s="95"/>
      <c r="E59" s="95"/>
      <c r="F59" s="95"/>
      <c r="G59" s="95"/>
      <c r="H59" s="95"/>
      <c r="I59" s="95"/>
      <c r="J59" s="95"/>
      <c r="K59" s="95"/>
      <c r="L59" s="95"/>
      <c r="M59" s="95"/>
      <c r="N59" s="95"/>
      <c r="O59" s="95"/>
      <c r="P59" s="95"/>
      <c r="Q59" s="95"/>
      <c r="R59" s="95"/>
      <c r="S59" s="95"/>
      <c r="T59" s="95"/>
      <c r="U59" s="95"/>
    </row>
    <row r="60" ht="15.75" customHeight="1">
      <c r="A60" s="95"/>
      <c r="B60" s="95"/>
      <c r="C60" s="95"/>
      <c r="D60" s="95"/>
      <c r="E60" s="95"/>
      <c r="F60" s="95"/>
      <c r="G60" s="95"/>
      <c r="H60" s="95"/>
      <c r="I60" s="95"/>
      <c r="J60" s="95"/>
      <c r="K60" s="95"/>
      <c r="L60" s="95"/>
      <c r="M60" s="95"/>
      <c r="N60" s="95"/>
      <c r="O60" s="95"/>
      <c r="P60" s="95"/>
      <c r="Q60" s="95"/>
      <c r="R60" s="95"/>
      <c r="S60" s="95"/>
      <c r="T60" s="95"/>
      <c r="U60" s="95"/>
    </row>
    <row r="61" ht="15.75" customHeight="1">
      <c r="A61" s="95"/>
      <c r="B61" s="95"/>
      <c r="C61" s="95"/>
      <c r="D61" s="95"/>
      <c r="E61" s="95"/>
      <c r="F61" s="95"/>
      <c r="G61" s="95"/>
      <c r="H61" s="95"/>
      <c r="I61" s="95"/>
      <c r="J61" s="95"/>
      <c r="K61" s="95"/>
      <c r="L61" s="95"/>
      <c r="M61" s="95"/>
      <c r="N61" s="95"/>
      <c r="O61" s="95"/>
      <c r="P61" s="95"/>
      <c r="Q61" s="95"/>
      <c r="R61" s="95"/>
      <c r="S61" s="95"/>
      <c r="T61" s="95"/>
      <c r="U61" s="95"/>
    </row>
    <row r="62" ht="15.75" customHeight="1">
      <c r="A62" s="95"/>
      <c r="B62" s="95"/>
      <c r="C62" s="95"/>
      <c r="D62" s="95"/>
      <c r="E62" s="95"/>
      <c r="F62" s="95"/>
      <c r="G62" s="95"/>
      <c r="H62" s="95"/>
      <c r="I62" s="95"/>
      <c r="J62" s="95"/>
      <c r="K62" s="95"/>
      <c r="L62" s="95"/>
      <c r="M62" s="95"/>
      <c r="N62" s="95"/>
      <c r="O62" s="95"/>
      <c r="P62" s="95"/>
      <c r="Q62" s="95"/>
      <c r="R62" s="95"/>
      <c r="S62" s="95"/>
      <c r="T62" s="95"/>
      <c r="U62" s="95"/>
    </row>
    <row r="63" ht="15.75" customHeight="1">
      <c r="A63" s="95"/>
      <c r="B63" s="95"/>
      <c r="C63" s="95"/>
      <c r="D63" s="95"/>
      <c r="E63" s="95"/>
      <c r="F63" s="95"/>
      <c r="G63" s="95"/>
      <c r="H63" s="95"/>
      <c r="I63" s="95"/>
      <c r="J63" s="95"/>
      <c r="K63" s="95"/>
      <c r="L63" s="95"/>
      <c r="M63" s="95"/>
      <c r="N63" s="95"/>
      <c r="O63" s="95"/>
      <c r="P63" s="95"/>
      <c r="Q63" s="95"/>
      <c r="R63" s="95"/>
      <c r="S63" s="95"/>
      <c r="T63" s="95"/>
      <c r="U63" s="95"/>
    </row>
    <row r="64" ht="15.75" customHeight="1">
      <c r="A64" s="95"/>
      <c r="B64" s="95"/>
      <c r="C64" s="95"/>
      <c r="D64" s="95"/>
      <c r="E64" s="95"/>
      <c r="F64" s="95"/>
      <c r="G64" s="95"/>
      <c r="H64" s="95"/>
      <c r="I64" s="95"/>
      <c r="J64" s="95"/>
      <c r="K64" s="95"/>
      <c r="L64" s="95"/>
      <c r="M64" s="95"/>
      <c r="N64" s="95"/>
      <c r="O64" s="95"/>
      <c r="P64" s="95"/>
      <c r="Q64" s="95"/>
      <c r="R64" s="95"/>
      <c r="S64" s="95"/>
      <c r="T64" s="95"/>
      <c r="U64" s="95"/>
    </row>
    <row r="65" ht="15.75" customHeight="1">
      <c r="A65" s="95"/>
      <c r="B65" s="95"/>
      <c r="C65" s="95"/>
      <c r="D65" s="95"/>
      <c r="E65" s="95"/>
      <c r="F65" s="95"/>
      <c r="G65" s="95"/>
      <c r="H65" s="95"/>
      <c r="I65" s="95"/>
      <c r="J65" s="95"/>
      <c r="K65" s="95"/>
      <c r="L65" s="95"/>
      <c r="M65" s="95"/>
      <c r="N65" s="95"/>
      <c r="O65" s="95"/>
      <c r="P65" s="95"/>
      <c r="Q65" s="95"/>
      <c r="R65" s="95"/>
      <c r="S65" s="95"/>
      <c r="T65" s="95"/>
      <c r="U65" s="95"/>
    </row>
    <row r="66" ht="15.75" customHeight="1">
      <c r="A66" s="95"/>
      <c r="B66" s="95"/>
      <c r="C66" s="95"/>
      <c r="D66" s="95"/>
      <c r="E66" s="95"/>
      <c r="F66" s="95"/>
      <c r="G66" s="95"/>
      <c r="H66" s="95"/>
      <c r="I66" s="95"/>
      <c r="J66" s="95"/>
      <c r="K66" s="95"/>
      <c r="L66" s="95"/>
      <c r="M66" s="95"/>
      <c r="N66" s="95"/>
      <c r="O66" s="95"/>
      <c r="P66" s="95"/>
      <c r="Q66" s="95"/>
      <c r="R66" s="95"/>
      <c r="S66" s="95"/>
      <c r="T66" s="95"/>
      <c r="U66" s="95"/>
    </row>
    <row r="67" ht="15.75" customHeight="1">
      <c r="A67" s="95"/>
      <c r="B67" s="95"/>
      <c r="C67" s="95"/>
      <c r="D67" s="95"/>
      <c r="E67" s="95"/>
      <c r="F67" s="95"/>
      <c r="G67" s="95"/>
      <c r="H67" s="95"/>
      <c r="I67" s="95"/>
      <c r="J67" s="95"/>
      <c r="K67" s="95"/>
      <c r="L67" s="95"/>
      <c r="M67" s="95"/>
      <c r="N67" s="95"/>
      <c r="O67" s="95"/>
      <c r="P67" s="95"/>
      <c r="Q67" s="95"/>
      <c r="R67" s="95"/>
      <c r="S67" s="95"/>
      <c r="T67" s="95"/>
      <c r="U67" s="95"/>
    </row>
    <row r="68" ht="15.75" customHeight="1">
      <c r="A68" s="95"/>
      <c r="B68" s="95"/>
      <c r="C68" s="95"/>
      <c r="D68" s="95"/>
      <c r="E68" s="95"/>
      <c r="F68" s="95"/>
      <c r="G68" s="95"/>
      <c r="H68" s="95"/>
      <c r="I68" s="95"/>
      <c r="J68" s="95"/>
      <c r="K68" s="95"/>
      <c r="L68" s="95"/>
      <c r="M68" s="95"/>
      <c r="N68" s="95"/>
      <c r="O68" s="95"/>
      <c r="P68" s="95"/>
      <c r="Q68" s="95"/>
      <c r="R68" s="95"/>
      <c r="S68" s="95"/>
      <c r="T68" s="95"/>
      <c r="U68" s="95"/>
    </row>
    <row r="69" ht="15.75" customHeight="1">
      <c r="A69" s="95"/>
      <c r="B69" s="95"/>
      <c r="C69" s="95"/>
      <c r="D69" s="95"/>
      <c r="E69" s="95"/>
      <c r="F69" s="95"/>
      <c r="G69" s="95"/>
      <c r="H69" s="95"/>
      <c r="I69" s="95"/>
      <c r="J69" s="95"/>
      <c r="K69" s="95"/>
      <c r="L69" s="95"/>
      <c r="M69" s="95"/>
      <c r="N69" s="95"/>
      <c r="O69" s="95"/>
      <c r="P69" s="95"/>
      <c r="Q69" s="95"/>
      <c r="R69" s="95"/>
      <c r="S69" s="95"/>
      <c r="T69" s="95"/>
      <c r="U69" s="95"/>
    </row>
    <row r="70" ht="15.75" customHeight="1">
      <c r="A70" s="95"/>
      <c r="B70" s="95"/>
      <c r="C70" s="95"/>
      <c r="D70" s="95"/>
      <c r="E70" s="95"/>
      <c r="F70" s="95"/>
      <c r="G70" s="95"/>
      <c r="H70" s="95"/>
      <c r="I70" s="95"/>
      <c r="J70" s="95"/>
      <c r="K70" s="95"/>
      <c r="L70" s="95"/>
      <c r="M70" s="95"/>
      <c r="N70" s="95"/>
      <c r="O70" s="95"/>
      <c r="P70" s="95"/>
      <c r="Q70" s="95"/>
      <c r="R70" s="95"/>
      <c r="S70" s="95"/>
      <c r="T70" s="95"/>
      <c r="U70" s="95"/>
    </row>
    <row r="71" ht="15.75" customHeight="1">
      <c r="A71" s="95"/>
      <c r="B71" s="95"/>
      <c r="C71" s="95"/>
      <c r="D71" s="95"/>
      <c r="E71" s="95"/>
      <c r="F71" s="95"/>
      <c r="G71" s="95"/>
      <c r="H71" s="95"/>
      <c r="I71" s="95"/>
      <c r="J71" s="95"/>
      <c r="K71" s="95"/>
      <c r="L71" s="95"/>
      <c r="M71" s="95"/>
      <c r="N71" s="95"/>
      <c r="O71" s="95"/>
      <c r="P71" s="95"/>
      <c r="Q71" s="95"/>
      <c r="R71" s="95"/>
      <c r="S71" s="95"/>
      <c r="T71" s="95"/>
      <c r="U71" s="95"/>
    </row>
    <row r="72" ht="15.75" customHeight="1">
      <c r="A72" s="95"/>
      <c r="B72" s="95"/>
      <c r="C72" s="95"/>
      <c r="D72" s="95"/>
      <c r="E72" s="95"/>
      <c r="F72" s="95"/>
      <c r="G72" s="95"/>
      <c r="H72" s="95"/>
      <c r="I72" s="95"/>
      <c r="J72" s="95"/>
      <c r="K72" s="95"/>
      <c r="L72" s="95"/>
      <c r="M72" s="95"/>
      <c r="N72" s="95"/>
      <c r="O72" s="95"/>
      <c r="P72" s="95"/>
      <c r="Q72" s="95"/>
      <c r="R72" s="95"/>
      <c r="S72" s="95"/>
      <c r="T72" s="95"/>
      <c r="U72" s="95"/>
    </row>
    <row r="73" ht="15.75" customHeight="1">
      <c r="A73" s="95"/>
      <c r="B73" s="95"/>
      <c r="C73" s="95"/>
      <c r="D73" s="95"/>
      <c r="E73" s="95"/>
      <c r="F73" s="95"/>
      <c r="G73" s="95"/>
      <c r="H73" s="95"/>
      <c r="I73" s="95"/>
      <c r="J73" s="95"/>
      <c r="K73" s="95"/>
      <c r="L73" s="95"/>
      <c r="M73" s="95"/>
      <c r="N73" s="95"/>
      <c r="O73" s="95"/>
      <c r="P73" s="95"/>
      <c r="Q73" s="95"/>
      <c r="R73" s="95"/>
      <c r="S73" s="95"/>
      <c r="T73" s="95"/>
      <c r="U73" s="95"/>
    </row>
    <row r="74" ht="15.75" customHeight="1">
      <c r="A74" s="95"/>
      <c r="B74" s="95"/>
      <c r="C74" s="95"/>
      <c r="D74" s="95"/>
      <c r="E74" s="95"/>
      <c r="F74" s="95"/>
      <c r="G74" s="95"/>
      <c r="H74" s="95"/>
      <c r="I74" s="95"/>
      <c r="J74" s="95"/>
      <c r="K74" s="95"/>
      <c r="L74" s="95"/>
      <c r="M74" s="95"/>
      <c r="N74" s="95"/>
      <c r="O74" s="95"/>
      <c r="P74" s="95"/>
      <c r="Q74" s="95"/>
      <c r="R74" s="95"/>
      <c r="S74" s="95"/>
      <c r="T74" s="95"/>
      <c r="U74" s="95"/>
    </row>
    <row r="75" ht="15.75" customHeight="1">
      <c r="A75" s="95"/>
      <c r="B75" s="95"/>
      <c r="C75" s="95"/>
      <c r="D75" s="95"/>
      <c r="E75" s="95"/>
      <c r="F75" s="95"/>
      <c r="G75" s="95"/>
      <c r="H75" s="95"/>
      <c r="I75" s="95"/>
      <c r="J75" s="95"/>
      <c r="K75" s="95"/>
      <c r="L75" s="95"/>
      <c r="M75" s="95"/>
      <c r="N75" s="95"/>
      <c r="O75" s="95"/>
      <c r="P75" s="95"/>
      <c r="Q75" s="95"/>
      <c r="R75" s="95"/>
      <c r="S75" s="95"/>
      <c r="T75" s="95"/>
      <c r="U75" s="95"/>
    </row>
    <row r="76" ht="15.75" customHeight="1">
      <c r="A76" s="95"/>
      <c r="B76" s="95"/>
      <c r="C76" s="95"/>
      <c r="D76" s="95"/>
      <c r="E76" s="95"/>
      <c r="F76" s="95"/>
      <c r="G76" s="95"/>
      <c r="H76" s="95"/>
      <c r="I76" s="95"/>
      <c r="J76" s="95"/>
      <c r="K76" s="95"/>
      <c r="L76" s="95"/>
      <c r="M76" s="95"/>
      <c r="N76" s="95"/>
      <c r="O76" s="95"/>
      <c r="P76" s="95"/>
      <c r="Q76" s="95"/>
      <c r="R76" s="95"/>
      <c r="S76" s="95"/>
      <c r="T76" s="95"/>
      <c r="U76" s="95"/>
    </row>
    <row r="77" ht="15.75" customHeight="1">
      <c r="A77" s="95"/>
      <c r="B77" s="95"/>
      <c r="C77" s="95"/>
      <c r="D77" s="95"/>
      <c r="E77" s="95"/>
      <c r="F77" s="95"/>
      <c r="G77" s="95"/>
      <c r="H77" s="95"/>
      <c r="I77" s="95"/>
      <c r="J77" s="95"/>
      <c r="K77" s="95"/>
      <c r="L77" s="95"/>
      <c r="M77" s="95"/>
      <c r="N77" s="95"/>
      <c r="O77" s="95"/>
      <c r="P77" s="95"/>
      <c r="Q77" s="95"/>
      <c r="R77" s="95"/>
      <c r="S77" s="95"/>
      <c r="T77" s="95"/>
      <c r="U77" s="95"/>
    </row>
    <row r="78" ht="15.75" customHeight="1">
      <c r="A78" s="95"/>
      <c r="B78" s="95"/>
      <c r="C78" s="95"/>
      <c r="D78" s="95"/>
      <c r="E78" s="95"/>
      <c r="F78" s="95"/>
      <c r="G78" s="95"/>
      <c r="H78" s="95"/>
      <c r="I78" s="95"/>
      <c r="J78" s="95"/>
      <c r="K78" s="95"/>
      <c r="L78" s="95"/>
      <c r="M78" s="95"/>
      <c r="N78" s="95"/>
      <c r="O78" s="95"/>
      <c r="P78" s="95"/>
      <c r="Q78" s="95"/>
      <c r="R78" s="95"/>
      <c r="S78" s="95"/>
      <c r="T78" s="95"/>
      <c r="U78" s="95"/>
    </row>
    <row r="79" ht="15.75" customHeight="1">
      <c r="A79" s="95"/>
      <c r="B79" s="95"/>
      <c r="C79" s="95"/>
      <c r="D79" s="95"/>
      <c r="E79" s="95"/>
      <c r="F79" s="95"/>
      <c r="G79" s="95"/>
      <c r="H79" s="95"/>
      <c r="I79" s="95"/>
      <c r="J79" s="95"/>
      <c r="K79" s="95"/>
      <c r="L79" s="95"/>
      <c r="M79" s="95"/>
      <c r="N79" s="95"/>
      <c r="O79" s="95"/>
      <c r="P79" s="95"/>
      <c r="Q79" s="95"/>
      <c r="R79" s="95"/>
      <c r="S79" s="95"/>
      <c r="T79" s="95"/>
      <c r="U79" s="95"/>
    </row>
    <row r="80" ht="15.75" customHeight="1">
      <c r="A80" s="95"/>
      <c r="B80" s="95"/>
      <c r="C80" s="95"/>
      <c r="D80" s="95"/>
      <c r="E80" s="95"/>
      <c r="F80" s="95"/>
      <c r="G80" s="95"/>
      <c r="H80" s="95"/>
      <c r="I80" s="95"/>
      <c r="J80" s="95"/>
      <c r="K80" s="95"/>
      <c r="L80" s="95"/>
      <c r="M80" s="95"/>
      <c r="N80" s="95"/>
      <c r="O80" s="95"/>
      <c r="P80" s="95"/>
      <c r="Q80" s="95"/>
      <c r="R80" s="95"/>
      <c r="S80" s="95"/>
      <c r="T80" s="95"/>
      <c r="U80" s="95"/>
    </row>
    <row r="81" ht="15.75" customHeight="1">
      <c r="A81" s="95"/>
      <c r="B81" s="95"/>
      <c r="C81" s="95"/>
      <c r="D81" s="95"/>
      <c r="E81" s="95"/>
      <c r="F81" s="95"/>
      <c r="G81" s="95"/>
      <c r="H81" s="95"/>
      <c r="I81" s="95"/>
      <c r="J81" s="95"/>
      <c r="K81" s="95"/>
      <c r="L81" s="95"/>
      <c r="M81" s="95"/>
      <c r="N81" s="95"/>
      <c r="O81" s="95"/>
      <c r="P81" s="95"/>
      <c r="Q81" s="95"/>
      <c r="R81" s="95"/>
      <c r="S81" s="95"/>
      <c r="T81" s="95"/>
      <c r="U81" s="95"/>
    </row>
    <row r="82" ht="15.75" customHeight="1">
      <c r="A82" s="95"/>
      <c r="B82" s="95"/>
      <c r="C82" s="95"/>
      <c r="D82" s="95"/>
      <c r="E82" s="95"/>
      <c r="F82" s="95"/>
      <c r="G82" s="95"/>
      <c r="H82" s="95"/>
      <c r="I82" s="95"/>
      <c r="J82" s="95"/>
      <c r="K82" s="95"/>
      <c r="L82" s="95"/>
      <c r="M82" s="95"/>
      <c r="N82" s="95"/>
      <c r="O82" s="95"/>
      <c r="P82" s="95"/>
      <c r="Q82" s="95"/>
      <c r="R82" s="95"/>
      <c r="S82" s="95"/>
      <c r="T82" s="95"/>
      <c r="U82" s="95"/>
    </row>
    <row r="83" ht="15.75" customHeight="1">
      <c r="A83" s="95"/>
      <c r="B83" s="95"/>
      <c r="C83" s="95"/>
      <c r="D83" s="95"/>
      <c r="E83" s="95"/>
      <c r="F83" s="95"/>
      <c r="G83" s="95"/>
      <c r="H83" s="95"/>
      <c r="I83" s="95"/>
      <c r="J83" s="95"/>
      <c r="K83" s="95"/>
      <c r="L83" s="95"/>
      <c r="M83" s="95"/>
      <c r="N83" s="95"/>
      <c r="O83" s="95"/>
      <c r="P83" s="95"/>
      <c r="Q83" s="95"/>
      <c r="R83" s="95"/>
      <c r="S83" s="95"/>
      <c r="T83" s="95"/>
      <c r="U83" s="95"/>
    </row>
    <row r="84" ht="15.75" customHeight="1">
      <c r="A84" s="95"/>
      <c r="B84" s="95"/>
      <c r="C84" s="95"/>
      <c r="D84" s="95"/>
      <c r="E84" s="95"/>
      <c r="F84" s="95"/>
      <c r="G84" s="95"/>
      <c r="H84" s="95"/>
      <c r="I84" s="95"/>
      <c r="J84" s="95"/>
      <c r="K84" s="95"/>
      <c r="L84" s="95"/>
      <c r="M84" s="95"/>
      <c r="N84" s="95"/>
      <c r="O84" s="95"/>
      <c r="P84" s="95"/>
      <c r="Q84" s="95"/>
      <c r="R84" s="95"/>
      <c r="S84" s="95"/>
      <c r="T84" s="95"/>
      <c r="U84" s="95"/>
    </row>
    <row r="85" ht="15.75" customHeight="1">
      <c r="A85" s="95"/>
      <c r="B85" s="95"/>
      <c r="C85" s="95"/>
      <c r="D85" s="95"/>
      <c r="E85" s="95"/>
      <c r="F85" s="95"/>
      <c r="G85" s="95"/>
      <c r="H85" s="95"/>
      <c r="I85" s="95"/>
      <c r="J85" s="95"/>
      <c r="K85" s="95"/>
      <c r="L85" s="95"/>
      <c r="M85" s="95"/>
      <c r="N85" s="95"/>
      <c r="O85" s="95"/>
      <c r="P85" s="95"/>
      <c r="Q85" s="95"/>
      <c r="R85" s="95"/>
      <c r="S85" s="95"/>
      <c r="T85" s="95"/>
      <c r="U85" s="95"/>
    </row>
    <row r="86" ht="15.75" customHeight="1">
      <c r="A86" s="95"/>
      <c r="B86" s="95"/>
      <c r="C86" s="95"/>
      <c r="D86" s="95"/>
      <c r="E86" s="95"/>
      <c r="F86" s="95"/>
      <c r="G86" s="95"/>
      <c r="H86" s="95"/>
      <c r="I86" s="95"/>
      <c r="J86" s="95"/>
      <c r="K86" s="95"/>
      <c r="L86" s="95"/>
      <c r="M86" s="95"/>
      <c r="N86" s="95"/>
      <c r="O86" s="95"/>
      <c r="P86" s="95"/>
      <c r="Q86" s="95"/>
      <c r="R86" s="95"/>
      <c r="S86" s="95"/>
      <c r="T86" s="95"/>
      <c r="U86" s="95"/>
    </row>
    <row r="87" ht="15.75" customHeight="1">
      <c r="A87" s="95"/>
      <c r="B87" s="95"/>
      <c r="C87" s="95"/>
      <c r="D87" s="95"/>
      <c r="E87" s="95"/>
      <c r="F87" s="95"/>
      <c r="G87" s="95"/>
      <c r="H87" s="95"/>
      <c r="I87" s="95"/>
      <c r="J87" s="95"/>
      <c r="K87" s="95"/>
      <c r="L87" s="95"/>
      <c r="M87" s="95"/>
      <c r="N87" s="95"/>
      <c r="O87" s="95"/>
      <c r="P87" s="95"/>
      <c r="Q87" s="95"/>
      <c r="R87" s="95"/>
      <c r="S87" s="95"/>
      <c r="T87" s="95"/>
      <c r="U87" s="95"/>
    </row>
    <row r="88" ht="15.75" customHeight="1">
      <c r="A88" s="95"/>
      <c r="B88" s="95"/>
      <c r="C88" s="95"/>
      <c r="D88" s="95"/>
      <c r="E88" s="95"/>
      <c r="F88" s="95"/>
      <c r="G88" s="95"/>
      <c r="H88" s="95"/>
      <c r="I88" s="95"/>
      <c r="J88" s="95"/>
      <c r="K88" s="95"/>
      <c r="L88" s="95"/>
      <c r="M88" s="95"/>
      <c r="N88" s="95"/>
      <c r="O88" s="95"/>
      <c r="P88" s="95"/>
      <c r="Q88" s="95"/>
      <c r="R88" s="95"/>
      <c r="S88" s="95"/>
      <c r="T88" s="95"/>
      <c r="U88" s="95"/>
    </row>
    <row r="89" ht="15.75" customHeight="1">
      <c r="A89" s="95"/>
      <c r="B89" s="95"/>
      <c r="C89" s="95"/>
      <c r="D89" s="95"/>
      <c r="E89" s="95"/>
      <c r="F89" s="95"/>
      <c r="G89" s="95"/>
      <c r="H89" s="95"/>
      <c r="I89" s="95"/>
      <c r="J89" s="95"/>
      <c r="K89" s="95"/>
      <c r="L89" s="95"/>
      <c r="M89" s="95"/>
      <c r="N89" s="95"/>
      <c r="O89" s="95"/>
      <c r="P89" s="95"/>
      <c r="Q89" s="95"/>
      <c r="R89" s="95"/>
      <c r="S89" s="95"/>
      <c r="T89" s="95"/>
      <c r="U89" s="95"/>
    </row>
    <row r="90" ht="15.75" customHeight="1">
      <c r="A90" s="95"/>
      <c r="B90" s="95"/>
      <c r="C90" s="95"/>
      <c r="D90" s="95"/>
      <c r="E90" s="95"/>
      <c r="F90" s="95"/>
      <c r="G90" s="95"/>
      <c r="H90" s="95"/>
      <c r="I90" s="95"/>
      <c r="J90" s="95"/>
      <c r="K90" s="95"/>
      <c r="L90" s="95"/>
      <c r="M90" s="95"/>
      <c r="N90" s="95"/>
      <c r="O90" s="95"/>
      <c r="P90" s="95"/>
      <c r="Q90" s="95"/>
      <c r="R90" s="95"/>
      <c r="S90" s="95"/>
      <c r="T90" s="95"/>
      <c r="U90" s="95"/>
    </row>
    <row r="91" ht="15.75" customHeight="1">
      <c r="A91" s="95"/>
      <c r="B91" s="95"/>
      <c r="C91" s="95"/>
      <c r="D91" s="95"/>
      <c r="E91" s="95"/>
      <c r="F91" s="95"/>
      <c r="G91" s="95"/>
      <c r="H91" s="95"/>
      <c r="I91" s="95"/>
      <c r="J91" s="95"/>
      <c r="K91" s="95"/>
      <c r="L91" s="95"/>
      <c r="M91" s="95"/>
      <c r="N91" s="95"/>
      <c r="O91" s="95"/>
      <c r="P91" s="95"/>
      <c r="Q91" s="95"/>
      <c r="R91" s="95"/>
      <c r="S91" s="95"/>
      <c r="T91" s="95"/>
      <c r="U91" s="95"/>
    </row>
    <row r="92" ht="15.75" customHeight="1">
      <c r="A92" s="95"/>
      <c r="B92" s="95"/>
      <c r="C92" s="95"/>
      <c r="D92" s="95"/>
      <c r="E92" s="95"/>
      <c r="F92" s="95"/>
      <c r="G92" s="95"/>
      <c r="H92" s="95"/>
      <c r="I92" s="95"/>
      <c r="J92" s="95"/>
      <c r="K92" s="95"/>
      <c r="L92" s="95"/>
      <c r="M92" s="95"/>
      <c r="N92" s="95"/>
      <c r="O92" s="95"/>
      <c r="P92" s="95"/>
      <c r="Q92" s="95"/>
      <c r="R92" s="95"/>
      <c r="S92" s="95"/>
      <c r="T92" s="95"/>
      <c r="U92" s="95"/>
    </row>
    <row r="93" ht="15.75" customHeight="1">
      <c r="A93" s="95"/>
      <c r="B93" s="95"/>
      <c r="C93" s="95"/>
      <c r="D93" s="95"/>
      <c r="E93" s="95"/>
      <c r="F93" s="95"/>
      <c r="G93" s="95"/>
      <c r="H93" s="95"/>
      <c r="I93" s="95"/>
      <c r="J93" s="95"/>
      <c r="K93" s="95"/>
      <c r="L93" s="95"/>
      <c r="M93" s="95"/>
      <c r="N93" s="95"/>
      <c r="O93" s="95"/>
      <c r="P93" s="95"/>
      <c r="Q93" s="95"/>
      <c r="R93" s="95"/>
      <c r="S93" s="95"/>
      <c r="T93" s="95"/>
      <c r="U93" s="95"/>
    </row>
    <row r="94" ht="15.75" customHeight="1">
      <c r="A94" s="95"/>
      <c r="B94" s="95"/>
      <c r="C94" s="95"/>
      <c r="D94" s="95"/>
      <c r="E94" s="95"/>
      <c r="F94" s="95"/>
      <c r="G94" s="95"/>
      <c r="H94" s="95"/>
      <c r="I94" s="95"/>
      <c r="J94" s="95"/>
      <c r="K94" s="95"/>
      <c r="L94" s="95"/>
      <c r="M94" s="95"/>
      <c r="N94" s="95"/>
      <c r="O94" s="95"/>
      <c r="P94" s="95"/>
      <c r="Q94" s="95"/>
      <c r="R94" s="95"/>
      <c r="S94" s="95"/>
      <c r="T94" s="95"/>
      <c r="U94" s="95"/>
    </row>
    <row r="95" ht="15.75" customHeight="1">
      <c r="A95" s="95"/>
      <c r="B95" s="95"/>
      <c r="C95" s="95"/>
      <c r="D95" s="95"/>
      <c r="E95" s="95"/>
      <c r="F95" s="95"/>
      <c r="G95" s="95"/>
      <c r="H95" s="95"/>
      <c r="I95" s="95"/>
      <c r="J95" s="95"/>
      <c r="K95" s="95"/>
      <c r="L95" s="95"/>
      <c r="M95" s="95"/>
      <c r="N95" s="95"/>
      <c r="O95" s="95"/>
      <c r="P95" s="95"/>
      <c r="Q95" s="95"/>
      <c r="R95" s="95"/>
      <c r="S95" s="95"/>
      <c r="T95" s="95"/>
      <c r="U95" s="95"/>
    </row>
    <row r="96" ht="15.75" customHeight="1">
      <c r="A96" s="95"/>
      <c r="B96" s="95"/>
      <c r="C96" s="95"/>
      <c r="D96" s="95"/>
      <c r="E96" s="95"/>
      <c r="F96" s="95"/>
      <c r="G96" s="95"/>
      <c r="H96" s="95"/>
      <c r="I96" s="95"/>
      <c r="J96" s="95"/>
      <c r="K96" s="95"/>
      <c r="L96" s="95"/>
      <c r="M96" s="95"/>
      <c r="N96" s="95"/>
      <c r="O96" s="95"/>
      <c r="P96" s="95"/>
      <c r="Q96" s="95"/>
      <c r="R96" s="95"/>
      <c r="S96" s="95"/>
      <c r="T96" s="95"/>
      <c r="U96" s="95"/>
    </row>
    <row r="97" ht="15.75" customHeight="1">
      <c r="A97" s="95"/>
      <c r="B97" s="95"/>
      <c r="C97" s="95"/>
      <c r="D97" s="95"/>
      <c r="E97" s="95"/>
      <c r="F97" s="95"/>
      <c r="G97" s="95"/>
      <c r="H97" s="95"/>
      <c r="I97" s="95"/>
      <c r="J97" s="95"/>
      <c r="K97" s="95"/>
      <c r="L97" s="95"/>
      <c r="M97" s="95"/>
      <c r="N97" s="95"/>
      <c r="O97" s="95"/>
      <c r="P97" s="95"/>
      <c r="Q97" s="95"/>
      <c r="R97" s="95"/>
      <c r="S97" s="95"/>
      <c r="T97" s="95"/>
      <c r="U97" s="95"/>
    </row>
    <row r="98" ht="15.75" customHeight="1">
      <c r="A98" s="95"/>
      <c r="B98" s="95"/>
      <c r="C98" s="95"/>
      <c r="D98" s="95"/>
      <c r="E98" s="95"/>
      <c r="F98" s="95"/>
      <c r="G98" s="95"/>
      <c r="H98" s="95"/>
      <c r="I98" s="95"/>
      <c r="J98" s="95"/>
      <c r="K98" s="95"/>
      <c r="L98" s="95"/>
      <c r="M98" s="95"/>
      <c r="N98" s="95"/>
      <c r="O98" s="95"/>
      <c r="P98" s="95"/>
      <c r="Q98" s="95"/>
      <c r="R98" s="95"/>
      <c r="S98" s="95"/>
      <c r="T98" s="95"/>
      <c r="U98" s="95"/>
    </row>
    <row r="99" ht="15.75" customHeight="1">
      <c r="A99" s="95"/>
      <c r="B99" s="95"/>
      <c r="C99" s="95"/>
      <c r="D99" s="95"/>
      <c r="E99" s="95"/>
      <c r="F99" s="95"/>
      <c r="G99" s="95"/>
      <c r="H99" s="95"/>
      <c r="I99" s="95"/>
      <c r="J99" s="95"/>
      <c r="K99" s="95"/>
      <c r="L99" s="95"/>
      <c r="M99" s="95"/>
      <c r="N99" s="95"/>
      <c r="O99" s="95"/>
      <c r="P99" s="95"/>
      <c r="Q99" s="95"/>
      <c r="R99" s="95"/>
      <c r="S99" s="95"/>
      <c r="T99" s="95"/>
      <c r="U99" s="95"/>
    </row>
    <row r="100" ht="15.75" customHeight="1">
      <c r="A100" s="95"/>
      <c r="B100" s="95"/>
      <c r="C100" s="95"/>
      <c r="D100" s="95"/>
      <c r="E100" s="95"/>
      <c r="F100" s="95"/>
      <c r="G100" s="95"/>
      <c r="H100" s="95"/>
      <c r="I100" s="95"/>
      <c r="J100" s="95"/>
      <c r="K100" s="95"/>
      <c r="L100" s="95"/>
      <c r="M100" s="95"/>
      <c r="N100" s="95"/>
      <c r="O100" s="95"/>
      <c r="P100" s="95"/>
      <c r="Q100" s="95"/>
      <c r="R100" s="95"/>
      <c r="S100" s="95"/>
      <c r="T100" s="95"/>
      <c r="U100" s="95"/>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1:U1"/>
    <mergeCell ref="A2:U2"/>
    <mergeCell ref="A3:U3"/>
    <mergeCell ref="A4:U4"/>
    <mergeCell ref="A5:U5"/>
    <mergeCell ref="A6:U6"/>
    <mergeCell ref="A7:U7"/>
    <mergeCell ref="A8:U8"/>
    <mergeCell ref="A9:U9"/>
    <mergeCell ref="A10:U10"/>
    <mergeCell ref="A11:U11"/>
    <mergeCell ref="A12:U12"/>
    <mergeCell ref="A13:U13"/>
    <mergeCell ref="A14:U14"/>
    <mergeCell ref="A22:U22"/>
    <mergeCell ref="A23:U23"/>
    <mergeCell ref="A24:U24"/>
    <mergeCell ref="A25:U25"/>
    <mergeCell ref="A26:U26"/>
    <mergeCell ref="A15:U15"/>
    <mergeCell ref="A16:U16"/>
    <mergeCell ref="A17:U17"/>
    <mergeCell ref="A18:U18"/>
    <mergeCell ref="A19:U19"/>
    <mergeCell ref="A20:U20"/>
    <mergeCell ref="A21:U21"/>
  </mergeCells>
  <printOptions/>
  <pageMargins bottom="0.75" footer="0.0" header="0.0" left="0.7" right="0.7" top="0.75"/>
  <pageSetup orientation="portrait"/>
  <headerFooter>
    <oddFooter>&amp;C000000&amp;P</oddFooter>
  </headerFooter>
  <drawing r:id="rId1"/>
</worksheet>
</file>